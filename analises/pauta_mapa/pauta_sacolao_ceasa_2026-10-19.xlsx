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Meu Drive\Pessoal\Mestrado\Dissertação\agroia-rmc\analises\pauta_mapa\"/>
    </mc:Choice>
  </mc:AlternateContent>
  <xr:revisionPtr revIDLastSave="0" documentId="13_ncr:1_{09733E15-B9C1-41CB-8790-F80D71FBEEB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eia-me" sheetId="1" r:id="rId1"/>
    <sheet name="Pauta 175" sheetId="2" r:id="rId2"/>
    <sheet name="Referência por espécie" sheetId="3" r:id="rId3"/>
    <sheet name="Cotações CEASA" sheetId="4" r:id="rId4"/>
  </sheets>
  <definedNames>
    <definedName name="_xlnm._FilterDatabase" localSheetId="3" hidden="1">'Cotações CEASA'!$A$1:$G$1</definedName>
    <definedName name="_xlnm._FilterDatabase" localSheetId="1" hidden="1">'Pauta 175'!$A$1:$J$1</definedName>
    <definedName name="_xlnm._FilterDatabase" localSheetId="2" hidden="1">'Referência por espécie'!$A$1:$J$1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4" i="4" l="1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E69" i="3"/>
  <c r="D65" i="3"/>
  <c r="H65" i="3" s="1"/>
  <c r="D64" i="3"/>
  <c r="H64" i="3" s="1"/>
  <c r="D63" i="3"/>
  <c r="H63" i="3" s="1"/>
  <c r="D62" i="3"/>
  <c r="H62" i="3" s="1"/>
  <c r="D61" i="3"/>
  <c r="H61" i="3" s="1"/>
  <c r="D60" i="3"/>
  <c r="H60" i="3" s="1"/>
  <c r="D59" i="3"/>
  <c r="J59" i="3" s="1"/>
  <c r="D58" i="3"/>
  <c r="J58" i="3" s="1"/>
  <c r="D57" i="3"/>
  <c r="J57" i="3" s="1"/>
  <c r="D56" i="3"/>
  <c r="J56" i="3" s="1"/>
  <c r="D55" i="3"/>
  <c r="D54" i="3"/>
  <c r="D53" i="3"/>
  <c r="D52" i="3"/>
  <c r="J52" i="3" s="1"/>
  <c r="D51" i="3"/>
  <c r="J51" i="3" s="1"/>
  <c r="D50" i="3"/>
  <c r="J50" i="3" s="1"/>
  <c r="D49" i="3"/>
  <c r="J49" i="3" s="1"/>
  <c r="D48" i="3"/>
  <c r="J48" i="3" s="1"/>
  <c r="D47" i="3"/>
  <c r="D46" i="3"/>
  <c r="D45" i="3"/>
  <c r="D44" i="3"/>
  <c r="J44" i="3" s="1"/>
  <c r="D43" i="3"/>
  <c r="J43" i="3" s="1"/>
  <c r="D42" i="3"/>
  <c r="J42" i="3" s="1"/>
  <c r="D41" i="3"/>
  <c r="J41" i="3" s="1"/>
  <c r="D40" i="3"/>
  <c r="J40" i="3" s="1"/>
  <c r="D39" i="3"/>
  <c r="D38" i="3"/>
  <c r="D37" i="3"/>
  <c r="D36" i="3"/>
  <c r="D35" i="3"/>
  <c r="J35" i="3" s="1"/>
  <c r="D34" i="3"/>
  <c r="J34" i="3" s="1"/>
  <c r="D33" i="3"/>
  <c r="J33" i="3" s="1"/>
  <c r="D32" i="3"/>
  <c r="J32" i="3" s="1"/>
  <c r="D31" i="3"/>
  <c r="D30" i="3"/>
  <c r="D29" i="3"/>
  <c r="D28" i="3"/>
  <c r="J28" i="3" s="1"/>
  <c r="D27" i="3"/>
  <c r="J27" i="3" s="1"/>
  <c r="D26" i="3"/>
  <c r="J26" i="3" s="1"/>
  <c r="D25" i="3"/>
  <c r="J25" i="3" s="1"/>
  <c r="D24" i="3"/>
  <c r="J24" i="3" s="1"/>
  <c r="D23" i="3"/>
  <c r="D22" i="3"/>
  <c r="D21" i="3"/>
  <c r="D20" i="3"/>
  <c r="J20" i="3" s="1"/>
  <c r="D19" i="3"/>
  <c r="J19" i="3" s="1"/>
  <c r="D18" i="3"/>
  <c r="J18" i="3" s="1"/>
  <c r="D17" i="3"/>
  <c r="J17" i="3" s="1"/>
  <c r="D16" i="3"/>
  <c r="J16" i="3" s="1"/>
  <c r="D15" i="3"/>
  <c r="D14" i="3"/>
  <c r="D13" i="3"/>
  <c r="D12" i="3"/>
  <c r="D11" i="3"/>
  <c r="J11" i="3" s="1"/>
  <c r="D10" i="3"/>
  <c r="J10" i="3" s="1"/>
  <c r="D9" i="3"/>
  <c r="J9" i="3" s="1"/>
  <c r="D8" i="3"/>
  <c r="J8" i="3" s="1"/>
  <c r="D7" i="3"/>
  <c r="D6" i="3"/>
  <c r="J6" i="3" s="1"/>
  <c r="D5" i="3"/>
  <c r="D4" i="3"/>
  <c r="D3" i="3"/>
  <c r="J3" i="3" s="1"/>
  <c r="D2" i="3"/>
  <c r="J2" i="3" s="1"/>
  <c r="J60" i="3" l="1"/>
  <c r="J61" i="3"/>
  <c r="J65" i="3"/>
  <c r="J62" i="3"/>
  <c r="J64" i="3"/>
  <c r="J63" i="3"/>
  <c r="H30" i="3"/>
  <c r="G30" i="3"/>
  <c r="F30" i="3"/>
  <c r="E30" i="3" a="1"/>
  <c r="E30" i="3" s="1"/>
  <c r="H38" i="3"/>
  <c r="G38" i="3"/>
  <c r="F38" i="3"/>
  <c r="E38" i="3" a="1"/>
  <c r="E38" i="3" s="1"/>
  <c r="H46" i="3"/>
  <c r="G46" i="3"/>
  <c r="F46" i="3"/>
  <c r="E46" i="3" a="1"/>
  <c r="E46" i="3" s="1"/>
  <c r="H54" i="3"/>
  <c r="G54" i="3"/>
  <c r="F54" i="3"/>
  <c r="E54" i="3" a="1"/>
  <c r="E54" i="3" s="1"/>
  <c r="H9" i="3"/>
  <c r="G9" i="3"/>
  <c r="F9" i="3"/>
  <c r="E9" i="3" a="1"/>
  <c r="E9" i="3" s="1"/>
  <c r="H17" i="3"/>
  <c r="G17" i="3"/>
  <c r="F17" i="3"/>
  <c r="E17" i="3" a="1"/>
  <c r="E17" i="3" s="1"/>
  <c r="H25" i="3"/>
  <c r="G25" i="3"/>
  <c r="F25" i="3"/>
  <c r="E25" i="3" a="1"/>
  <c r="E25" i="3" s="1"/>
  <c r="H33" i="3"/>
  <c r="G33" i="3"/>
  <c r="F33" i="3"/>
  <c r="E33" i="3" a="1"/>
  <c r="E33" i="3" s="1"/>
  <c r="H41" i="3"/>
  <c r="G41" i="3"/>
  <c r="F41" i="3"/>
  <c r="E41" i="3" a="1"/>
  <c r="E41" i="3" s="1"/>
  <c r="H49" i="3"/>
  <c r="G49" i="3"/>
  <c r="F49" i="3"/>
  <c r="E49" i="3" a="1"/>
  <c r="E49" i="3" s="1"/>
  <c r="H57" i="3"/>
  <c r="G57" i="3"/>
  <c r="F57" i="3"/>
  <c r="E57" i="3" a="1"/>
  <c r="E57" i="3" s="1"/>
  <c r="H14" i="3"/>
  <c r="G14" i="3"/>
  <c r="F14" i="3"/>
  <c r="E14" i="3" a="1"/>
  <c r="E14" i="3" s="1"/>
  <c r="H4" i="3"/>
  <c r="G4" i="3"/>
  <c r="F4" i="3"/>
  <c r="E4" i="3" a="1"/>
  <c r="E4" i="3" s="1"/>
  <c r="H36" i="3"/>
  <c r="G36" i="3"/>
  <c r="F36" i="3"/>
  <c r="E36" i="3" a="1"/>
  <c r="E36" i="3" s="1"/>
  <c r="J38" i="3"/>
  <c r="H15" i="3"/>
  <c r="G15" i="3"/>
  <c r="F15" i="3"/>
  <c r="E15" i="3" a="1"/>
  <c r="E15" i="3" s="1"/>
  <c r="H31" i="3"/>
  <c r="G31" i="3"/>
  <c r="F31" i="3"/>
  <c r="E31" i="3" a="1"/>
  <c r="E31" i="3" s="1"/>
  <c r="H55" i="3"/>
  <c r="G55" i="3"/>
  <c r="F55" i="3"/>
  <c r="E55" i="3" a="1"/>
  <c r="E55" i="3" s="1"/>
  <c r="H12" i="3"/>
  <c r="G12" i="3"/>
  <c r="F12" i="3"/>
  <c r="E12" i="3" a="1"/>
  <c r="E12" i="3" s="1"/>
  <c r="J14" i="3"/>
  <c r="H7" i="3"/>
  <c r="G7" i="3"/>
  <c r="F7" i="3"/>
  <c r="E7" i="3" a="1"/>
  <c r="E7" i="3" s="1"/>
  <c r="H23" i="3"/>
  <c r="G23" i="3"/>
  <c r="F23" i="3"/>
  <c r="E23" i="3" a="1"/>
  <c r="E23" i="3" s="1"/>
  <c r="H39" i="3"/>
  <c r="G39" i="3"/>
  <c r="F39" i="3"/>
  <c r="E39" i="3" a="1"/>
  <c r="E39" i="3" s="1"/>
  <c r="H47" i="3"/>
  <c r="G47" i="3"/>
  <c r="F47" i="3"/>
  <c r="E47" i="3" a="1"/>
  <c r="E47" i="3" s="1"/>
  <c r="H2" i="3"/>
  <c r="G2" i="3"/>
  <c r="F2" i="3"/>
  <c r="E2" i="3" a="1"/>
  <c r="E2" i="3" s="1"/>
  <c r="J4" i="3"/>
  <c r="H10" i="3"/>
  <c r="G10" i="3"/>
  <c r="F10" i="3"/>
  <c r="E10" i="3" a="1"/>
  <c r="E10" i="3" s="1"/>
  <c r="J12" i="3"/>
  <c r="H18" i="3"/>
  <c r="G18" i="3"/>
  <c r="F18" i="3"/>
  <c r="E18" i="3" a="1"/>
  <c r="E18" i="3" s="1"/>
  <c r="H26" i="3"/>
  <c r="G26" i="3"/>
  <c r="F26" i="3"/>
  <c r="E26" i="3" a="1"/>
  <c r="E26" i="3" s="1"/>
  <c r="H34" i="3"/>
  <c r="G34" i="3"/>
  <c r="F34" i="3"/>
  <c r="E34" i="3" a="1"/>
  <c r="E34" i="3" s="1"/>
  <c r="J36" i="3"/>
  <c r="H42" i="3"/>
  <c r="G42" i="3"/>
  <c r="F42" i="3"/>
  <c r="E42" i="3" a="1"/>
  <c r="E42" i="3" s="1"/>
  <c r="H50" i="3"/>
  <c r="G50" i="3"/>
  <c r="F50" i="3"/>
  <c r="E50" i="3" a="1"/>
  <c r="E50" i="3" s="1"/>
  <c r="H58" i="3"/>
  <c r="G58" i="3"/>
  <c r="F58" i="3"/>
  <c r="E58" i="3" a="1"/>
  <c r="E58" i="3" s="1"/>
  <c r="H22" i="3"/>
  <c r="G22" i="3"/>
  <c r="F22" i="3"/>
  <c r="E22" i="3" a="1"/>
  <c r="E22" i="3" s="1"/>
  <c r="H20" i="3"/>
  <c r="G20" i="3"/>
  <c r="F20" i="3"/>
  <c r="E20" i="3" a="1"/>
  <c r="E20" i="3" s="1"/>
  <c r="J22" i="3"/>
  <c r="J30" i="3"/>
  <c r="H44" i="3"/>
  <c r="G44" i="3"/>
  <c r="F44" i="3"/>
  <c r="E44" i="3" a="1"/>
  <c r="E44" i="3" s="1"/>
  <c r="J46" i="3"/>
  <c r="H5" i="3"/>
  <c r="G5" i="3"/>
  <c r="F5" i="3"/>
  <c r="E5" i="3" a="1"/>
  <c r="E5" i="3" s="1"/>
  <c r="H21" i="3"/>
  <c r="G21" i="3"/>
  <c r="F21" i="3"/>
  <c r="E21" i="3" a="1"/>
  <c r="E21" i="3" s="1"/>
  <c r="J23" i="3"/>
  <c r="H29" i="3"/>
  <c r="G29" i="3"/>
  <c r="F29" i="3"/>
  <c r="E29" i="3" a="1"/>
  <c r="E29" i="3" s="1"/>
  <c r="J31" i="3"/>
  <c r="J39" i="3"/>
  <c r="H45" i="3"/>
  <c r="G45" i="3"/>
  <c r="F45" i="3"/>
  <c r="E45" i="3" a="1"/>
  <c r="E45" i="3" s="1"/>
  <c r="J47" i="3"/>
  <c r="J55" i="3"/>
  <c r="H8" i="3"/>
  <c r="G8" i="3"/>
  <c r="F8" i="3"/>
  <c r="E8" i="3" a="1"/>
  <c r="E8" i="3" s="1"/>
  <c r="H16" i="3"/>
  <c r="G16" i="3"/>
  <c r="F16" i="3"/>
  <c r="E16" i="3" a="1"/>
  <c r="E16" i="3" s="1"/>
  <c r="H24" i="3"/>
  <c r="G24" i="3"/>
  <c r="F24" i="3"/>
  <c r="E24" i="3" a="1"/>
  <c r="E24" i="3" s="1"/>
  <c r="H32" i="3"/>
  <c r="G32" i="3"/>
  <c r="F32" i="3"/>
  <c r="E32" i="3" a="1"/>
  <c r="E32" i="3" s="1"/>
  <c r="H40" i="3"/>
  <c r="G40" i="3"/>
  <c r="F40" i="3"/>
  <c r="E40" i="3" a="1"/>
  <c r="E40" i="3" s="1"/>
  <c r="H48" i="3"/>
  <c r="G48" i="3"/>
  <c r="F48" i="3"/>
  <c r="E48" i="3" a="1"/>
  <c r="E48" i="3" s="1"/>
  <c r="H56" i="3"/>
  <c r="G56" i="3"/>
  <c r="F56" i="3"/>
  <c r="E56" i="3" a="1"/>
  <c r="E56" i="3" s="1"/>
  <c r="H6" i="3"/>
  <c r="G6" i="3"/>
  <c r="F6" i="3"/>
  <c r="E6" i="3" a="1"/>
  <c r="E6" i="3" s="1"/>
  <c r="H28" i="3"/>
  <c r="G28" i="3"/>
  <c r="F28" i="3"/>
  <c r="E28" i="3" a="1"/>
  <c r="E28" i="3" s="1"/>
  <c r="H52" i="3"/>
  <c r="G52" i="3"/>
  <c r="F52" i="3"/>
  <c r="E52" i="3" a="1"/>
  <c r="E52" i="3" s="1"/>
  <c r="J54" i="3"/>
  <c r="J7" i="3"/>
  <c r="H13" i="3"/>
  <c r="G13" i="3"/>
  <c r="F13" i="3"/>
  <c r="E13" i="3" a="1"/>
  <c r="E13" i="3" s="1"/>
  <c r="J15" i="3"/>
  <c r="H37" i="3"/>
  <c r="G37" i="3"/>
  <c r="F37" i="3"/>
  <c r="E37" i="3" a="1"/>
  <c r="E37" i="3" s="1"/>
  <c r="H53" i="3"/>
  <c r="G53" i="3"/>
  <c r="F53" i="3"/>
  <c r="E53" i="3" a="1"/>
  <c r="E53" i="3" s="1"/>
  <c r="H3" i="3"/>
  <c r="G3" i="3"/>
  <c r="F3" i="3"/>
  <c r="E3" i="3" a="1"/>
  <c r="E3" i="3" s="1"/>
  <c r="J5" i="3"/>
  <c r="H11" i="3"/>
  <c r="G11" i="3"/>
  <c r="F11" i="3"/>
  <c r="E11" i="3" a="1"/>
  <c r="E11" i="3" s="1"/>
  <c r="J13" i="3"/>
  <c r="H19" i="3"/>
  <c r="G19" i="3"/>
  <c r="F19" i="3"/>
  <c r="E19" i="3" a="1"/>
  <c r="E19" i="3" s="1"/>
  <c r="J21" i="3"/>
  <c r="H27" i="3"/>
  <c r="G27" i="3"/>
  <c r="F27" i="3"/>
  <c r="E27" i="3" a="1"/>
  <c r="E27" i="3" s="1"/>
  <c r="J29" i="3"/>
  <c r="H35" i="3"/>
  <c r="G35" i="3"/>
  <c r="F35" i="3"/>
  <c r="E35" i="3" a="1"/>
  <c r="E35" i="3" s="1"/>
  <c r="J37" i="3"/>
  <c r="H43" i="3"/>
  <c r="G43" i="3"/>
  <c r="F43" i="3"/>
  <c r="E43" i="3" a="1"/>
  <c r="E43" i="3" s="1"/>
  <c r="J45" i="3"/>
  <c r="H51" i="3"/>
  <c r="G51" i="3"/>
  <c r="F51" i="3"/>
  <c r="E51" i="3" a="1"/>
  <c r="E51" i="3" s="1"/>
  <c r="J53" i="3"/>
  <c r="H59" i="3"/>
  <c r="G59" i="3"/>
  <c r="F59" i="3"/>
  <c r="E59" i="3" a="1"/>
  <c r="E59" i="3" s="1"/>
  <c r="E60" i="3" a="1"/>
  <c r="E60" i="3" s="1"/>
  <c r="E61" i="3" a="1"/>
  <c r="E61" i="3" s="1"/>
  <c r="E62" i="3" a="1"/>
  <c r="E62" i="3" s="1"/>
  <c r="E63" i="3" a="1"/>
  <c r="E63" i="3" s="1"/>
  <c r="E64" i="3" a="1"/>
  <c r="E64" i="3" s="1"/>
  <c r="E65" i="3" a="1"/>
  <c r="E65" i="3" s="1"/>
  <c r="F60" i="3"/>
  <c r="F61" i="3"/>
  <c r="F62" i="3"/>
  <c r="F63" i="3"/>
  <c r="F64" i="3"/>
  <c r="F65" i="3"/>
  <c r="G60" i="3"/>
  <c r="G61" i="3"/>
  <c r="G62" i="3"/>
  <c r="G63" i="3"/>
  <c r="G64" i="3"/>
  <c r="G65" i="3"/>
  <c r="E67" i="3" l="1"/>
  <c r="H77" i="2"/>
  <c r="I54" i="3"/>
  <c r="I77" i="2" s="1"/>
  <c r="H26" i="2"/>
  <c r="I38" i="3"/>
  <c r="I26" i="2" s="1"/>
  <c r="H25" i="2"/>
  <c r="I36" i="3"/>
  <c r="I25" i="2" s="1"/>
  <c r="I14" i="3"/>
  <c r="I51" i="2" s="1"/>
  <c r="H51" i="2"/>
  <c r="H73" i="2"/>
  <c r="I49" i="3"/>
  <c r="I73" i="2" s="1"/>
  <c r="H22" i="2"/>
  <c r="I33" i="3"/>
  <c r="I22" i="2" s="1"/>
  <c r="I17" i="3"/>
  <c r="I15" i="2" s="1"/>
  <c r="H15" i="2"/>
  <c r="I19" i="3"/>
  <c r="I16" i="2" s="1"/>
  <c r="H16" i="2"/>
  <c r="I45" i="3"/>
  <c r="I32" i="2" s="1"/>
  <c r="H32" i="2"/>
  <c r="H65" i="2"/>
  <c r="I34" i="3"/>
  <c r="H24" i="2"/>
  <c r="H42" i="2"/>
  <c r="I65" i="3"/>
  <c r="I42" i="2" s="1"/>
  <c r="H70" i="2"/>
  <c r="H30" i="2"/>
  <c r="I43" i="3"/>
  <c r="I28" i="3"/>
  <c r="I60" i="2" s="1"/>
  <c r="H60" i="2"/>
  <c r="I56" i="3"/>
  <c r="I80" i="2" s="1"/>
  <c r="H80" i="2"/>
  <c r="H29" i="2"/>
  <c r="I40" i="3"/>
  <c r="H68" i="2"/>
  <c r="I24" i="3"/>
  <c r="I59" i="2" s="1"/>
  <c r="H59" i="2"/>
  <c r="H50" i="2"/>
  <c r="I8" i="3"/>
  <c r="H8" i="2"/>
  <c r="H46" i="2"/>
  <c r="I2" i="3"/>
  <c r="H4" i="2"/>
  <c r="H66" i="2"/>
  <c r="I39" i="3"/>
  <c r="H28" i="2"/>
  <c r="H10" i="2"/>
  <c r="I7" i="3"/>
  <c r="H47" i="2"/>
  <c r="I64" i="3"/>
  <c r="H87" i="2"/>
  <c r="H44" i="2"/>
  <c r="H45" i="2"/>
  <c r="I3" i="3"/>
  <c r="H2" i="2"/>
  <c r="I37" i="3"/>
  <c r="I27" i="2" s="1"/>
  <c r="H27" i="2"/>
  <c r="H17" i="2"/>
  <c r="I20" i="3"/>
  <c r="I17" i="2" s="1"/>
  <c r="H81" i="2"/>
  <c r="I58" i="3"/>
  <c r="I81" i="2" s="1"/>
  <c r="H69" i="2"/>
  <c r="I42" i="3"/>
  <c r="I69" i="2" s="1"/>
  <c r="H78" i="2"/>
  <c r="I55" i="3"/>
  <c r="I78" i="2" s="1"/>
  <c r="H14" i="2"/>
  <c r="I15" i="3"/>
  <c r="I14" i="2" s="1"/>
  <c r="H49" i="2"/>
  <c r="H5" i="2"/>
  <c r="I5" i="3"/>
  <c r="I27" i="3"/>
  <c r="I55" i="2" s="1"/>
  <c r="H55" i="2"/>
  <c r="H54" i="2"/>
  <c r="I21" i="3"/>
  <c r="I54" i="2" s="1"/>
  <c r="H58" i="2"/>
  <c r="I26" i="3"/>
  <c r="I58" i="2" s="1"/>
  <c r="I4" i="3"/>
  <c r="I3" i="2" s="1"/>
  <c r="H3" i="2"/>
  <c r="I57" i="3"/>
  <c r="I79" i="2" s="1"/>
  <c r="H79" i="2"/>
  <c r="I41" i="3"/>
  <c r="I67" i="2" s="1"/>
  <c r="H67" i="2"/>
  <c r="H61" i="2"/>
  <c r="I25" i="3"/>
  <c r="I61" i="2" s="1"/>
  <c r="H9" i="2"/>
  <c r="I9" i="3"/>
  <c r="I9" i="2" s="1"/>
  <c r="I46" i="3"/>
  <c r="I71" i="2" s="1"/>
  <c r="H71" i="2"/>
  <c r="H62" i="2"/>
  <c r="I30" i="3"/>
  <c r="H19" i="2"/>
  <c r="H86" i="2"/>
  <c r="I63" i="3"/>
  <c r="H43" i="2"/>
  <c r="H85" i="2"/>
  <c r="H41" i="2"/>
  <c r="I62" i="3"/>
  <c r="H34" i="2"/>
  <c r="I51" i="3"/>
  <c r="H76" i="2"/>
  <c r="I44" i="3"/>
  <c r="I31" i="2" s="1"/>
  <c r="H31" i="2"/>
  <c r="H6" i="2"/>
  <c r="I10" i="3"/>
  <c r="I6" i="2" s="1"/>
  <c r="I59" i="3"/>
  <c r="H83" i="2"/>
  <c r="H39" i="2"/>
  <c r="H53" i="2"/>
  <c r="I18" i="3"/>
  <c r="I53" i="2" s="1"/>
  <c r="I61" i="3"/>
  <c r="H40" i="2"/>
  <c r="H84" i="2"/>
  <c r="I11" i="3"/>
  <c r="H48" i="2"/>
  <c r="H11" i="2"/>
  <c r="H74" i="2"/>
  <c r="I52" i="3"/>
  <c r="I74" i="2" s="1"/>
  <c r="I6" i="3"/>
  <c r="I7" i="2" s="1"/>
  <c r="H7" i="2"/>
  <c r="I48" i="3"/>
  <c r="H35" i="2"/>
  <c r="H72" i="2"/>
  <c r="H21" i="2"/>
  <c r="I32" i="3"/>
  <c r="H63" i="2"/>
  <c r="I16" i="3"/>
  <c r="I52" i="2" s="1"/>
  <c r="H52" i="2"/>
  <c r="H33" i="2"/>
  <c r="I47" i="3"/>
  <c r="I33" i="2" s="1"/>
  <c r="H57" i="2"/>
  <c r="I23" i="3"/>
  <c r="I57" i="2" s="1"/>
  <c r="H13" i="2"/>
  <c r="I13" i="3"/>
  <c r="I13" i="2" s="1"/>
  <c r="H82" i="2"/>
  <c r="H38" i="2"/>
  <c r="I60" i="3"/>
  <c r="I35" i="3"/>
  <c r="H64" i="2"/>
  <c r="H23" i="2"/>
  <c r="H37" i="2"/>
  <c r="I53" i="3"/>
  <c r="H75" i="2"/>
  <c r="H18" i="2"/>
  <c r="I29" i="3"/>
  <c r="I18" i="2" s="1"/>
  <c r="I22" i="3"/>
  <c r="I56" i="2" s="1"/>
  <c r="H56" i="2"/>
  <c r="I50" i="3"/>
  <c r="I36" i="2" s="1"/>
  <c r="H36" i="2"/>
  <c r="I12" i="3"/>
  <c r="I12" i="2" s="1"/>
  <c r="H12" i="2"/>
  <c r="I31" i="3"/>
  <c r="I20" i="2" s="1"/>
  <c r="H20" i="2"/>
  <c r="I62" i="2" l="1"/>
  <c r="I19" i="2"/>
  <c r="I82" i="2"/>
  <c r="I38" i="2"/>
  <c r="I72" i="2"/>
  <c r="I35" i="2"/>
  <c r="I47" i="2"/>
  <c r="I10" i="2"/>
  <c r="I68" i="2"/>
  <c r="I29" i="2"/>
  <c r="I50" i="2"/>
  <c r="I8" i="2"/>
  <c r="I48" i="2"/>
  <c r="I11" i="2"/>
  <c r="I85" i="2"/>
  <c r="I41" i="2"/>
  <c r="I37" i="2"/>
  <c r="I75" i="2"/>
  <c r="I86" i="2"/>
  <c r="I43" i="2"/>
  <c r="I66" i="2"/>
  <c r="I28" i="2"/>
  <c r="I44" i="2"/>
  <c r="I87" i="2"/>
  <c r="I23" i="2"/>
  <c r="I64" i="2"/>
  <c r="I84" i="2"/>
  <c r="I40" i="2"/>
  <c r="I24" i="2"/>
  <c r="I65" i="2"/>
  <c r="I63" i="2"/>
  <c r="I21" i="2"/>
  <c r="I70" i="2"/>
  <c r="I30" i="2"/>
  <c r="I46" i="2"/>
  <c r="E68" i="3"/>
  <c r="I4" i="2"/>
  <c r="I83" i="2"/>
  <c r="I39" i="2"/>
  <c r="I49" i="2"/>
  <c r="I5" i="2"/>
  <c r="I2" i="2"/>
  <c r="I45" i="2"/>
  <c r="I34" i="2"/>
  <c r="I7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AgroIA</author>
  </authors>
  <commentList>
    <comment ref="B8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Resolução SMSAN 2/2024 (revogada em 24/09/2026). Edite para testar outro teto.</t>
        </r>
      </text>
    </comment>
  </commentList>
</comments>
</file>

<file path=xl/sharedStrings.xml><?xml version="1.0" encoding="utf-8"?>
<sst xmlns="http://schemas.openxmlformats.org/spreadsheetml/2006/main" count="1071" uniqueCount="319">
  <si>
    <t>Pauta do Sacolão × preços oficiais da CEASA-PR (Curitiba)</t>
  </si>
  <si>
    <t>Gerado em</t>
  </si>
  <si>
    <t>19/10/2026</t>
  </si>
  <si>
    <t>Pauta</t>
  </si>
  <si>
    <t>Portaria 175/2026 da SMSAN — Diário Oficial Eletrônico nº 159, 26/08/2026 (republicação do DOM nº 156, que saiu sem o Anexo I). https://legisladocexterno.curitiba.pr.gov.br/AtosConsultaExternaDownload.aspx?Id=477144&amp;tipo=ass</t>
  </si>
  <si>
    <t>Preços</t>
  </si>
  <si>
    <t>Cotação oficial da CEASA-PR (Divisão Técnica Econômica — DITEC), "preço mais comum" do dia por produto, tipo e embalagem, unidade Curitiba. São os mesmos valores do boletim "Coleta de Preços Diário" (https://www.ceasa.pr.gov.br/Pagina/Cotacao-Diaria-de-Precos-2026), coletados pela plataforma na consulta oficial de evolução de preços.</t>
  </si>
  <si>
    <t>Nomes dos produtos</t>
  </si>
  <si>
    <t>Calendário oficial de comercialização da CEASA-PR, unidade Curitiba (cópia em docs/ceasa/calendario_comercializacao_ceasa-pr_curitiba.pdf): ex.: Couve Manteiga, Brócolis, Tangerina Mimosa/Comum, Tangerina Murcot, Mandioca, Batata Salsa. Ele confirma as leituras do Anexo I (mimosa e murcot são tangerinas; brócolis, couve-flor e repolho estão entre as Hortaliças Folhosas). Boletim oficial de 19/10/2026 em docs/ceasa/coleta_precos_diario_curitiba_2026-10-19.pdf.</t>
  </si>
  <si>
    <t>Regra do preço de referência</t>
  </si>
  <si>
    <t>Para cada espécie da pauta entram TODOS os tipos oficiais do produto cotados em Curitiba na data mais recente (até 30 dias). Referência = mediana do preço mais comum por kg desses tipos; mínimo e máximo ao lado. Ficam fora: itens embalados ou minimamente processados (bandeja, pacote, fatiado, descascado, cenoura baby), que o Art. 2º da Portaria 175 trata fora da pauta; produtos que o boletim oficial lista à parte (Maçã Importada — inclui Granny Smith e Red Delicious —, Pera Importada, Batata Yakon); e tipos sem peso na embalagem (não têm R$/kg). Exceção: o milho-verde em saco de 50 espigas usa o peso de 13 kg informado no boletim oficial de 19/10/2026.</t>
  </si>
  <si>
    <t>Teto de comparação (R$/kg)</t>
  </si>
  <si>
    <t>Atenção ao teto</t>
  </si>
  <si>
    <t>R$ 3,99/kg era o teto da Resolução SMSAN nº 2/2024, REVOGADA pela Resolução SMSAN nº 2/2026 (DOM 179, 24/09/2026). A Portaria 175 (Art. 1º, §1º) diz que o preço máximo é definido por resolução específica, ainda não localizada. Edite a célula amarela para testar outro teto: as abas recalculam.</t>
  </si>
  <si>
    <t>Atacado × varejo</t>
  </si>
  <si>
    <t>Os preços da CEASA são de ATACADO; o teto vale para a venda ao consumidor no Sacolão. A comparação indica pressão de custo, não descumprimento.</t>
  </si>
  <si>
    <t>Abas</t>
  </si>
  <si>
    <t>Pauta 175 (86 linhas do Anexo I) · Referência por espécie (64 espécies, fórmulas) · Cotações CEASA (todos os tipos usados, com R$/kg calculado).</t>
  </si>
  <si>
    <t>Cores</t>
  </si>
  <si>
    <t>Azul em fundo amarelo = valor editável · Verde = valor trazido de outra aba · Preto = fórmula.</t>
  </si>
  <si>
    <t>Estação</t>
  </si>
  <si>
    <t>Grupo</t>
  </si>
  <si>
    <t>Subgrupo</t>
  </si>
  <si>
    <t>Mínimo do subgrupo</t>
  </si>
  <si>
    <t>Espécie</t>
  </si>
  <si>
    <t>Variedade</t>
  </si>
  <si>
    <t>Texto no Anexo I</t>
  </si>
  <si>
    <t>R$/kg referência CEASA</t>
  </si>
  <si>
    <t>Acima do teto?</t>
  </si>
  <si>
    <t>Observação da transcrição</t>
  </si>
  <si>
    <t>Outono/Inverno</t>
  </si>
  <si>
    <t>Hortaliças</t>
  </si>
  <si>
    <t>Hortaliças Herbáceas (folhosas)</t>
  </si>
  <si>
    <t>alface</t>
  </si>
  <si>
    <t>Alface</t>
  </si>
  <si>
    <t>alho-poró</t>
  </si>
  <si>
    <t>alho poró</t>
  </si>
  <si>
    <t>agrião</t>
  </si>
  <si>
    <t>almeirão</t>
  </si>
  <si>
    <t>couve-flor</t>
  </si>
  <si>
    <t>brássica entre as folhosas, como no calendário oficial da CEASA-PR (Curitiba) (Hortaliças Folhosas) — confirmado</t>
  </si>
  <si>
    <t>brócolis</t>
  </si>
  <si>
    <t>couve- brócolis</t>
  </si>
  <si>
    <t>anexo grafa 'couve- brócolis'; o calendário oficial da CEASA-PR (Curitiba) lista 'Brócolis' entre as Hortaliças Folhosas — confirmado</t>
  </si>
  <si>
    <t>couve</t>
  </si>
  <si>
    <t>o anexo traz um item vazio logo depois (', ,'), ignorado</t>
  </si>
  <si>
    <t>couve chinesa</t>
  </si>
  <si>
    <t>cheiro-verde</t>
  </si>
  <si>
    <t>escarola</t>
  </si>
  <si>
    <t>espinafre</t>
  </si>
  <si>
    <t>mostarda</t>
  </si>
  <si>
    <t>rúcula</t>
  </si>
  <si>
    <t>Hortaliças Frutos</t>
  </si>
  <si>
    <t>abóbora</t>
  </si>
  <si>
    <t>Abóbora</t>
  </si>
  <si>
    <t>chuchu</t>
  </si>
  <si>
    <t>ervilha</t>
  </si>
  <si>
    <t>Hortaliças Raízes, tuberosas e bulbos</t>
  </si>
  <si>
    <t>aipim</t>
  </si>
  <si>
    <t>Aipim</t>
  </si>
  <si>
    <t>batata</t>
  </si>
  <si>
    <t>batata-doce</t>
  </si>
  <si>
    <t>beterraba</t>
  </si>
  <si>
    <t>cará</t>
  </si>
  <si>
    <t>cenoura</t>
  </si>
  <si>
    <t>cebola</t>
  </si>
  <si>
    <t>inhame</t>
  </si>
  <si>
    <t>nabo</t>
  </si>
  <si>
    <t>nabo e mandioquinha-salsa</t>
  </si>
  <si>
    <t>lida como duas espécies separadas por 'e'; o calendário oficial da CEASA-PR (Curitiba) lista as duas separadas</t>
  </si>
  <si>
    <t>mandioquinha-salsa</t>
  </si>
  <si>
    <t>rabanete</t>
  </si>
  <si>
    <t>Frutas</t>
  </si>
  <si>
    <t>abacate</t>
  </si>
  <si>
    <t>Abacate</t>
  </si>
  <si>
    <t>banana</t>
  </si>
  <si>
    <t>caqui</t>
  </si>
  <si>
    <t>carambola</t>
  </si>
  <si>
    <t>ca r am bo la</t>
  </si>
  <si>
    <t>espaçamento do PDF corrigido</t>
  </si>
  <si>
    <t>kiwi</t>
  </si>
  <si>
    <t>maçã</t>
  </si>
  <si>
    <t>mamão</t>
  </si>
  <si>
    <t>maracujá</t>
  </si>
  <si>
    <t>melão</t>
  </si>
  <si>
    <t>Frutas Cítricas</t>
  </si>
  <si>
    <t>laranja</t>
  </si>
  <si>
    <t>pera</t>
  </si>
  <si>
    <t>Laranja pera</t>
  </si>
  <si>
    <t>lima</t>
  </si>
  <si>
    <t>laranja lima</t>
  </si>
  <si>
    <t>limão</t>
  </si>
  <si>
    <t>rosa</t>
  </si>
  <si>
    <t>limão rosa</t>
  </si>
  <si>
    <t>tahiti</t>
  </si>
  <si>
    <t>limão tahiti</t>
  </si>
  <si>
    <t>tangerina</t>
  </si>
  <si>
    <t>ponkan</t>
  </si>
  <si>
    <t>tangerina ponkan</t>
  </si>
  <si>
    <t>mimosa</t>
  </si>
  <si>
    <t>'mimosa' aparece sozinha na lista de cítricas; o calendário oficial da CEASA-PR (Curitiba) lista 'Tangerina Mimosa/Comum' (mexerica) — confirmado; antes interpretada como tangerina mimosa (mexerica)</t>
  </si>
  <si>
    <t>murcote</t>
  </si>
  <si>
    <t>murcot</t>
  </si>
  <si>
    <t>lida como tangerina; grafia do anexo 'murcot'; o calendário oficial da CEASA-PR (Curitiba) lista 'Tangerina Murcot' — confirmado</t>
  </si>
  <si>
    <t>Primavera/Verão</t>
  </si>
  <si>
    <t>cheiro verde</t>
  </si>
  <si>
    <t>repolho</t>
  </si>
  <si>
    <t>abobrinha</t>
  </si>
  <si>
    <t>Abobrinha</t>
  </si>
  <si>
    <t>berinjela</t>
  </si>
  <si>
    <t>feijão-vagem</t>
  </si>
  <si>
    <t>feijão vagem</t>
  </si>
  <si>
    <t>quiabo</t>
  </si>
  <si>
    <t>maxixe</t>
  </si>
  <si>
    <t>milho-verde</t>
  </si>
  <si>
    <t>milho verde</t>
  </si>
  <si>
    <t>pimentão</t>
  </si>
  <si>
    <t>pepino</t>
  </si>
  <si>
    <t>pepino e tomate</t>
  </si>
  <si>
    <t>tomate</t>
  </si>
  <si>
    <t>pimenta</t>
  </si>
  <si>
    <t>Batata</t>
  </si>
  <si>
    <t>cebola e rabanete</t>
  </si>
  <si>
    <t>abacaxi</t>
  </si>
  <si>
    <t>Abacaxi</t>
  </si>
  <si>
    <t>ameixa</t>
  </si>
  <si>
    <t>goiaba</t>
  </si>
  <si>
    <t>manga</t>
  </si>
  <si>
    <t>melancia</t>
  </si>
  <si>
    <t>nectarina</t>
  </si>
  <si>
    <t>pêssego</t>
  </si>
  <si>
    <t>pitaya</t>
  </si>
  <si>
    <t>uva</t>
  </si>
  <si>
    <t>tangerina murcot</t>
  </si>
  <si>
    <t>grafia do anexo 'murcot'; o calendário oficial da CEASA-PR (Curitiba) lista 'Tangerina Murcot' — confirmado</t>
  </si>
  <si>
    <t>Fonte: Anexo I da Portaria 175/2026, DOM nº 159 (26/08/2026). Mínimos por subgrupo e estação conforme o anexo; soma = 26 por estação.</t>
  </si>
  <si>
    <t>Espécie da pauta</t>
  </si>
  <si>
    <t>Estações</t>
  </si>
  <si>
    <t>Tipos oficiais cotados</t>
  </si>
  <si>
    <t>R$/kg referência (mediana)</t>
  </si>
  <si>
    <t>R$/kg mínimo</t>
  </si>
  <si>
    <t>R$/kg máximo</t>
  </si>
  <si>
    <t>Data da cotação</t>
  </si>
  <si>
    <t>Situação</t>
  </si>
  <si>
    <t>Out/Inv + Prim/Ver</t>
  </si>
  <si>
    <t>Out/Inv</t>
  </si>
  <si>
    <t>Prim/Ver</t>
  </si>
  <si>
    <t>laranja pera</t>
  </si>
  <si>
    <t>tangerina mimosa</t>
  </si>
  <si>
    <t>tangerina murcote</t>
  </si>
  <si>
    <t>Espécies com cotação</t>
  </si>
  <si>
    <t>Espécies acima do teto</t>
  </si>
  <si>
    <t>Teto usado na comparação (R$/kg)</t>
  </si>
  <si>
    <t>Descrição oficial (CEASA-PR)</t>
  </si>
  <si>
    <t>Embalagem</t>
  </si>
  <si>
    <t>Peso da embalagem (kg)</t>
  </si>
  <si>
    <t>Preço mais comum (R$/embalagem)</t>
  </si>
  <si>
    <t>R$/kg</t>
  </si>
  <si>
    <t>AGRIAO mç 400 g</t>
  </si>
  <si>
    <t>mç 400 g</t>
  </si>
  <si>
    <t>ALFACE AMERICANA cx 7,5 kg</t>
  </si>
  <si>
    <t>cx 7,5 kg</t>
  </si>
  <si>
    <t>ALFACE CRESPA GRANDE cx 7 kg</t>
  </si>
  <si>
    <t>cx 7 kg</t>
  </si>
  <si>
    <t>ALFACE CRESPA MEDIO cx 6 kg</t>
  </si>
  <si>
    <t>cx 6 kg</t>
  </si>
  <si>
    <t>ALFACE HIDROPONICO cx 7 kg</t>
  </si>
  <si>
    <t>ALFACE LISA MEDIO cx 6 kg</t>
  </si>
  <si>
    <t>ALFACE ROXA GRANDE cx 7 kg</t>
  </si>
  <si>
    <t>ALHO PORRO MAÇO 4 UNID mç 2 kg</t>
  </si>
  <si>
    <t>mç 2 kg</t>
  </si>
  <si>
    <t>ALMEIRAO C. ESPADA mç 300 g</t>
  </si>
  <si>
    <t>mç 300 g</t>
  </si>
  <si>
    <t>ALMEIRAO PÃO DE AÇUCAR mç 400 g</t>
  </si>
  <si>
    <t>COUVE BROCOLO dz 6 kg</t>
  </si>
  <si>
    <t>dz 6 kg</t>
  </si>
  <si>
    <t>COUVE BROCOLO mç 500 g</t>
  </si>
  <si>
    <t>mç 500 g</t>
  </si>
  <si>
    <t>CHEIRO-VERDE mç 400 g</t>
  </si>
  <si>
    <t>COUVE MANTEIGA mç 400 g</t>
  </si>
  <si>
    <t>COUVE CHINESA GRANDE eg 15 kg</t>
  </si>
  <si>
    <t>eg 15 kg</t>
  </si>
  <si>
    <t>COUVE CHINESA MEDIO eg 15 kg</t>
  </si>
  <si>
    <t>COUVE CHINESA un 1,5 kg</t>
  </si>
  <si>
    <t>un 1,5 kg</t>
  </si>
  <si>
    <t>COUVE FLOR GRANDE dz 24 kg</t>
  </si>
  <si>
    <t>dz 24 kg</t>
  </si>
  <si>
    <t>COUVE FLOR MEDIA dz 20 kg</t>
  </si>
  <si>
    <t>dz 20 kg</t>
  </si>
  <si>
    <t>COUVE FLOR un 1,5 kg</t>
  </si>
  <si>
    <t>ESCAROLA/CHICORIA GRANDE cx 7 kg</t>
  </si>
  <si>
    <t>ESPINAFRE mç 400 g</t>
  </si>
  <si>
    <t>MOSTARDA mç 400 g</t>
  </si>
  <si>
    <t>REPOLHO ROXO eng 25 kg</t>
  </si>
  <si>
    <t>eng 25 kg</t>
  </si>
  <si>
    <t>REPOLHO ROXO un 2 kg</t>
  </si>
  <si>
    <t>un 2 kg</t>
  </si>
  <si>
    <t>REPOLHO VERDE CABEÇA MEDIA cb 2 kg</t>
  </si>
  <si>
    <t>cb 2 kg</t>
  </si>
  <si>
    <t>REPOLHO VERDE GRANDE eng 25 kg</t>
  </si>
  <si>
    <t>REPOLHO VERDE MEDIO eng 25 kg</t>
  </si>
  <si>
    <t>RUCULA HIDROPONICA mç 300 g</t>
  </si>
  <si>
    <t>RUCULA mç 300 g</t>
  </si>
  <si>
    <t>ABOBRINHA VERDE EXTRA A cx 20 kg</t>
  </si>
  <si>
    <t>cx 20 kg</t>
  </si>
  <si>
    <t>ABOBORA HOKAIDO/KABOTIA sc 20 kg</t>
  </si>
  <si>
    <t>sc 20 kg</t>
  </si>
  <si>
    <t>ABOBORA MENINA/PAULISTA sc 20 kg</t>
  </si>
  <si>
    <t>ABOBORA MORANGA sc 20 kg</t>
  </si>
  <si>
    <t>ABOBORA SECA/PESCOÇO kg</t>
  </si>
  <si>
    <t>kg</t>
  </si>
  <si>
    <t>BERINJELA EXTRA A cx 12 kg</t>
  </si>
  <si>
    <t>cx 12 kg</t>
  </si>
  <si>
    <t>CHUCHU EXTRA A cx 20 kg</t>
  </si>
  <si>
    <t>ERVILHA PR TORTA cx 12 kg</t>
  </si>
  <si>
    <t>VAGEM MACARRAO EXTRA A cx 15 kg</t>
  </si>
  <si>
    <t>cx 15 kg</t>
  </si>
  <si>
    <t>MAXIXI PRIMEIRA cx 16 kg</t>
  </si>
  <si>
    <t>cx 16 kg</t>
  </si>
  <si>
    <t>MILHO VERDE SC C/50 ESPIGAS sc c/50 espigas</t>
  </si>
  <si>
    <t>sc c/50 espigas</t>
  </si>
  <si>
    <t>PEPINO AODAI/SALADA EXTRA A cx 20 kg</t>
  </si>
  <si>
    <t>PEPINO JAPONES EXTRA A cx 20 kg</t>
  </si>
  <si>
    <t>PEPINO JAPONES EXTRA AA cx 20 kg</t>
  </si>
  <si>
    <t>PIMENTA CAMBUCI cx 12 kg</t>
  </si>
  <si>
    <t>PIMENTA DEDO DE MOÇA/AR cx 10 kg</t>
  </si>
  <si>
    <t>cx 10 kg</t>
  </si>
  <si>
    <t>PIMENTÃO AMARELO EXTRA AA cx 12 kg</t>
  </si>
  <si>
    <t>PIMENTÃO COLORIDO EXTRA AA cx 12 kg</t>
  </si>
  <si>
    <t>PIMENTÃO VERDE EXTRA A cx 12 kg</t>
  </si>
  <si>
    <t>PIMENTÃO VERMELHO EXTRA A cx 12 kg</t>
  </si>
  <si>
    <t>QUIABO PRIMEIRA cx 15 kg</t>
  </si>
  <si>
    <t>QUIABO SEGUNDA cx 15 kg</t>
  </si>
  <si>
    <t>TOMATE CEREJA cx 20 kg</t>
  </si>
  <si>
    <t>TOMATE EXTRA A cx 20 kg</t>
  </si>
  <si>
    <t>TOMATE LONGA VIDA EXTRA A cx 20 kg</t>
  </si>
  <si>
    <t>TOMATE SALADETE EXTRA AA cx 20 kg</t>
  </si>
  <si>
    <t>AIPIM-MANDIOCA SEGUNDA cx 20 kg</t>
  </si>
  <si>
    <t>BATATA COMUM ESPECIAL sc 25 kg</t>
  </si>
  <si>
    <t>sc 25 kg</t>
  </si>
  <si>
    <t>BATATA DOCE ROXA EXTRA cx 20 kg</t>
  </si>
  <si>
    <t>BETERRABA EXTRA A cx 20 kg</t>
  </si>
  <si>
    <t>BETERRABA GRAUDA mç 1,5 kg</t>
  </si>
  <si>
    <t>mç 1,5 kg</t>
  </si>
  <si>
    <t>BETERRABA MEDIA mç 1,5 kg</t>
  </si>
  <si>
    <t>BETERRABA cx 20 kg</t>
  </si>
  <si>
    <t>CARA cx 20 kg</t>
  </si>
  <si>
    <t>CEBOLA PERA sc 20 kg</t>
  </si>
  <si>
    <t>CENOURA COMUM EXTRA A cx 20 kg</t>
  </si>
  <si>
    <t>INHAME-TAIA SEGUNDA cx 20 kg</t>
  </si>
  <si>
    <t>MANDIOQUINHA/BATATA SALSA PRIMEIRA cx 20 kg</t>
  </si>
  <si>
    <t>MANDIOQUINHA/BATATA SALSA SACOLA cx 5 kg</t>
  </si>
  <si>
    <t>cx 5 kg</t>
  </si>
  <si>
    <t>MANDIOQUINHA/BATATA SALSA SEGUNDA cx 20 kg</t>
  </si>
  <si>
    <t>NABO BRANCO cx 16 kg</t>
  </si>
  <si>
    <t>NABO BRANCO mç 3 kg</t>
  </si>
  <si>
    <t>mç 3 kg</t>
  </si>
  <si>
    <t>RABANETE DZ DE MAÇOS cx 12 kg</t>
  </si>
  <si>
    <t>RABANETE MAÇO mç 1 kg</t>
  </si>
  <si>
    <t>mç 1 kg</t>
  </si>
  <si>
    <t>ABACATE BREDA cx 20 kg</t>
  </si>
  <si>
    <t>ABACATE COLISON cx 20 kg</t>
  </si>
  <si>
    <t>ABACATE FORTUNA cx 20 kg</t>
  </si>
  <si>
    <t>ABACATE MARGARIDA cx 20 kg</t>
  </si>
  <si>
    <t>ABACATE QUINTAL cx 20 kg</t>
  </si>
  <si>
    <t>ABACAXI HAVAI GRAUDO cx 18 kg</t>
  </si>
  <si>
    <t>cx 18 kg</t>
  </si>
  <si>
    <t>ABACAXI PEROLA GRAUDO cx 15 kg</t>
  </si>
  <si>
    <t>ABACAXI PEROLA GRAUDO un 1,8 kg</t>
  </si>
  <si>
    <t>un 1,8 kg</t>
  </si>
  <si>
    <t>AMEIXA VERMELHA IMPORTADA cx 10 kg</t>
  </si>
  <si>
    <t>AMEIXA VERMELHA cx 10 kg</t>
  </si>
  <si>
    <t>BANANA CATURRA PRIMEIRA cx 20 kg</t>
  </si>
  <si>
    <t>BANANA CATURRA SEGUNDA cx 20 kg</t>
  </si>
  <si>
    <t>BANANA PRATA cx 20 kg</t>
  </si>
  <si>
    <t>CAQUI TAUBATE cx 8 kg</t>
  </si>
  <si>
    <t>cx 8 kg</t>
  </si>
  <si>
    <t>CARAMBOLA cx 3 kg</t>
  </si>
  <si>
    <t>cx 3 kg</t>
  </si>
  <si>
    <t>GOIABA VERMELHA cx 20 kg</t>
  </si>
  <si>
    <t>KIWI IMPORTADO cx 10 kg</t>
  </si>
  <si>
    <t>MAMAO FORMOSA MADURO cx 15 kg</t>
  </si>
  <si>
    <t>MAMAO FORMOSA kg</t>
  </si>
  <si>
    <t>MAMAO PAPAYA/HAVAI cx 8 kg</t>
  </si>
  <si>
    <t>MANGA PALMER cx 20 kg</t>
  </si>
  <si>
    <t>MANGA ROSA cx 20 kg</t>
  </si>
  <si>
    <t>MANGA TOMMY ATKING cx 20 kg</t>
  </si>
  <si>
    <t>MARACUJA AZEDO cx 12 kg</t>
  </si>
  <si>
    <t>MARACUJA DOCE cx 2 kg</t>
  </si>
  <si>
    <t>cx 2 kg</t>
  </si>
  <si>
    <t>MAÇA FUJI CAT 1 TP 80 A 100 cx 18 kg</t>
  </si>
  <si>
    <t>MAÇA GALA CAT 2 TP 80 A 100 cx 18 kg</t>
  </si>
  <si>
    <t>MELANCIA KODAMA cx 10 kg</t>
  </si>
  <si>
    <t>MELANCIA REDONDA kg</t>
  </si>
  <si>
    <t>MELAO AMARELO COMUM TP-10 cx 13 kg</t>
  </si>
  <si>
    <t>cx 13 kg</t>
  </si>
  <si>
    <t>NECTARINA IMPORTADA cx 9 kg</t>
  </si>
  <si>
    <t>cx 9 kg</t>
  </si>
  <si>
    <t>PERA NACIONAL COMUM cx 20 kg</t>
  </si>
  <si>
    <t>PITAIA C/12UN cx 4 kg</t>
  </si>
  <si>
    <t>cx 4 kg</t>
  </si>
  <si>
    <t>PESSEGO IMPORTADO cx 9 kg</t>
  </si>
  <si>
    <t>PESSEGO cx 18 kg</t>
  </si>
  <si>
    <t>UVA CRINSON NACIONAL cx 5 kg</t>
  </si>
  <si>
    <t>UVA ITALIA NACIONAL cx 8 kg</t>
  </si>
  <si>
    <t>UVA NIAGARA ROSADA cx 8 kg</t>
  </si>
  <si>
    <t>UVA THOMPSON NACIONAL cx 5 kg</t>
  </si>
  <si>
    <t>UVA VITORIA NACIONAL cx 5 kg</t>
  </si>
  <si>
    <t>LARANJA LIMA GRAUDA cx 20 kg</t>
  </si>
  <si>
    <t>LARANJA PERA GRAUDA cx 20 kg</t>
  </si>
  <si>
    <t>LARANJA PERA MEDIA cx 20 kg</t>
  </si>
  <si>
    <t>LIMAO ROSA cx 20 kg</t>
  </si>
  <si>
    <t>LIMAO ROSA cx 6 kg</t>
  </si>
  <si>
    <t>LIMAO TAHITI GRAUDO cx 23 kg</t>
  </si>
  <si>
    <t>cx 23 kg</t>
  </si>
  <si>
    <t>TANGERINA MIMOSA/MEXERICA COMUM cx 20 kg</t>
  </si>
  <si>
    <t>TANGERINA MURKOTE GRAUDA cx 23 kg</t>
  </si>
  <si>
    <t>TANGERINA PONKAN GRAUDA cx 20 kg</t>
  </si>
  <si>
    <t>Fonte: CEASA-PR/DITEC, preço mais comum, unidade Curitiba; R$/kg = preço da embalagem ÷ peso da embalagem.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</si>
</sst>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"/>
    <numFmt numFmtId="166" formatCode="0.000"/>
  </numFmts>
  <fonts count="8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0"/>
      <name val="Arial"/>
    </font>
    <font>
      <sz val="10"/>
      <name val="Arial"/>
    </font>
    <font>
      <sz val="10"/>
      <color rgb="FF0000FF"/>
      <name val="Arial"/>
    </font>
    <font>
      <b/>
      <sz val="11"/>
      <color rgb="FFFFFFFF"/>
      <name val="Arial"/>
    </font>
    <font>
      <i/>
      <sz val="9"/>
      <name val="Arial"/>
    </font>
    <font>
      <sz val="10"/>
      <color rgb="FF008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164" fontId="4" fillId="2" borderId="0" xfId="0" applyNumberFormat="1" applyFont="1" applyFill="1" applyAlignment="1">
      <alignment horizontal="left"/>
    </xf>
    <xf numFmtId="0" fontId="5" fillId="3" borderId="0" xfId="0" applyFont="1" applyFill="1" applyAlignment="1">
      <alignment vertical="center" wrapText="1"/>
    </xf>
    <xf numFmtId="0" fontId="3" fillId="0" borderId="1" xfId="0" applyFont="1" applyBorder="1"/>
    <xf numFmtId="164" fontId="7" fillId="0" borderId="1" xfId="0" applyNumberFormat="1" applyFont="1" applyBorder="1"/>
    <xf numFmtId="0" fontId="7" fillId="0" borderId="1" xfId="0" applyFont="1" applyBorder="1"/>
    <xf numFmtId="0" fontId="6" fillId="0" borderId="0" xfId="0" applyFont="1"/>
    <xf numFmtId="0" fontId="3" fillId="0" borderId="0" xfId="0" applyFont="1"/>
    <xf numFmtId="164" fontId="3" fillId="0" borderId="0" xfId="0" applyNumberFormat="1" applyFont="1"/>
    <xf numFmtId="14" fontId="3" fillId="0" borderId="0" xfId="0" applyNumberFormat="1" applyFont="1"/>
    <xf numFmtId="164" fontId="7" fillId="0" borderId="0" xfId="0" applyNumberFormat="1" applyFont="1"/>
    <xf numFmtId="166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/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0</v>
      </c>
    </row>
    <row r="3" spans="1:2" x14ac:dyDescent="0.3">
      <c r="A3" s="2" t="s">
        <v>1</v>
      </c>
      <c r="B3" s="3" t="s">
        <v>2</v>
      </c>
    </row>
    <row r="4" spans="1:2" ht="26.4" x14ac:dyDescent="0.3">
      <c r="A4" s="2" t="s">
        <v>3</v>
      </c>
      <c r="B4" s="3" t="s">
        <v>4</v>
      </c>
    </row>
    <row r="5" spans="1:2" ht="52.8" x14ac:dyDescent="0.3">
      <c r="A5" s="2" t="s">
        <v>5</v>
      </c>
      <c r="B5" s="3" t="s">
        <v>6</v>
      </c>
    </row>
    <row r="6" spans="1:2" ht="52.8" x14ac:dyDescent="0.3">
      <c r="A6" s="2" t="s">
        <v>7</v>
      </c>
      <c r="B6" s="3" t="s">
        <v>8</v>
      </c>
    </row>
    <row r="7" spans="1:2" ht="79.2" x14ac:dyDescent="0.3">
      <c r="A7" s="2" t="s">
        <v>9</v>
      </c>
      <c r="B7" s="3" t="s">
        <v>10</v>
      </c>
    </row>
    <row r="8" spans="1:2" x14ac:dyDescent="0.3">
      <c r="A8" s="2" t="s">
        <v>11</v>
      </c>
      <c r="B8" s="4">
        <v>3.99</v>
      </c>
    </row>
    <row r="9" spans="1:2" ht="39.6" x14ac:dyDescent="0.3">
      <c r="A9" s="2" t="s">
        <v>12</v>
      </c>
      <c r="B9" s="3" t="s">
        <v>13</v>
      </c>
    </row>
    <row r="10" spans="1:2" ht="26.4" x14ac:dyDescent="0.3">
      <c r="A10" s="2" t="s">
        <v>14</v>
      </c>
      <c r="B10" s="3" t="s">
        <v>15</v>
      </c>
    </row>
    <row r="11" spans="1:2" ht="26.4" x14ac:dyDescent="0.3">
      <c r="A11" s="2" t="s">
        <v>16</v>
      </c>
      <c r="B11" s="3" t="s">
        <v>17</v>
      </c>
    </row>
    <row r="12" spans="1:2" x14ac:dyDescent="0.3">
      <c r="A12" s="2" t="s">
        <v>18</v>
      </c>
      <c r="B12" s="3" t="s">
        <v>19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32" customWidth="1"/>
    <col min="4" max="4" width="10" customWidth="1"/>
    <col min="5" max="5" width="20" customWidth="1"/>
    <col min="6" max="6" width="12" customWidth="1"/>
    <col min="7" max="7" width="26" customWidth="1"/>
    <col min="8" max="8" width="14" customWidth="1"/>
    <col min="9" max="9" width="11" customWidth="1"/>
    <col min="10" max="10" width="60" customWidth="1"/>
  </cols>
  <sheetData>
    <row r="1" spans="1:10" ht="31.95" customHeight="1" x14ac:dyDescent="0.3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</row>
    <row r="2" spans="1:10" x14ac:dyDescent="0.3">
      <c r="A2" s="6" t="s">
        <v>30</v>
      </c>
      <c r="B2" s="6" t="s">
        <v>31</v>
      </c>
      <c r="C2" s="6" t="s">
        <v>32</v>
      </c>
      <c r="D2" s="6">
        <v>5</v>
      </c>
      <c r="E2" s="6" t="s">
        <v>33</v>
      </c>
      <c r="F2" s="6"/>
      <c r="G2" s="6" t="s">
        <v>34</v>
      </c>
      <c r="H2" s="7">
        <f>IFERROR(INDEX('Referência por espécie'!$E$2:$E$65,MATCH(E2&amp;IF(F2="",""," "&amp;F2),'Referência por espécie'!$B$2:$B$65,0)),"")</f>
        <v>4.2857142857142856</v>
      </c>
      <c r="I2" s="8" t="str">
        <f>IFERROR(INDEX('Referência por espécie'!$I$2:$I$65,MATCH(E2&amp;IF(F2="",""," "&amp;F2),'Referência por espécie'!$B$2:$B$65,0)),"")</f>
        <v>sim</v>
      </c>
      <c r="J2" s="6"/>
    </row>
    <row r="3" spans="1:10" x14ac:dyDescent="0.3">
      <c r="A3" s="6" t="s">
        <v>30</v>
      </c>
      <c r="B3" s="6" t="s">
        <v>31</v>
      </c>
      <c r="C3" s="6" t="s">
        <v>32</v>
      </c>
      <c r="D3" s="6">
        <v>5</v>
      </c>
      <c r="E3" s="6" t="s">
        <v>35</v>
      </c>
      <c r="F3" s="6"/>
      <c r="G3" s="6" t="s">
        <v>36</v>
      </c>
      <c r="H3" s="7">
        <f>IFERROR(INDEX('Referência por espécie'!$E$2:$E$65,MATCH(E3&amp;IF(F3="",""," "&amp;F3),'Referência por espécie'!$B$2:$B$65,0)),"")</f>
        <v>7.5</v>
      </c>
      <c r="I3" s="8" t="str">
        <f>IFERROR(INDEX('Referência por espécie'!$I$2:$I$65,MATCH(E3&amp;IF(F3="",""," "&amp;F3),'Referência por espécie'!$B$2:$B$65,0)),"")</f>
        <v>sim</v>
      </c>
      <c r="J3" s="6"/>
    </row>
    <row r="4" spans="1:10" x14ac:dyDescent="0.3">
      <c r="A4" s="6" t="s">
        <v>30</v>
      </c>
      <c r="B4" s="6" t="s">
        <v>31</v>
      </c>
      <c r="C4" s="6" t="s">
        <v>32</v>
      </c>
      <c r="D4" s="6">
        <v>5</v>
      </c>
      <c r="E4" s="6" t="s">
        <v>37</v>
      </c>
      <c r="F4" s="6"/>
      <c r="G4" s="6" t="s">
        <v>37</v>
      </c>
      <c r="H4" s="7">
        <f>IFERROR(INDEX('Referência por espécie'!$E$2:$E$65,MATCH(E4&amp;IF(F4="",""," "&amp;F4),'Referência por espécie'!$B$2:$B$65,0)),"")</f>
        <v>6.25</v>
      </c>
      <c r="I4" s="8" t="str">
        <f>IFERROR(INDEX('Referência por espécie'!$I$2:$I$65,MATCH(E4&amp;IF(F4="",""," "&amp;F4),'Referência por espécie'!$B$2:$B$65,0)),"")</f>
        <v>sim</v>
      </c>
      <c r="J4" s="6"/>
    </row>
    <row r="5" spans="1:10" x14ac:dyDescent="0.3">
      <c r="A5" s="6" t="s">
        <v>30</v>
      </c>
      <c r="B5" s="6" t="s">
        <v>31</v>
      </c>
      <c r="C5" s="6" t="s">
        <v>32</v>
      </c>
      <c r="D5" s="6">
        <v>5</v>
      </c>
      <c r="E5" s="6" t="s">
        <v>38</v>
      </c>
      <c r="F5" s="6"/>
      <c r="G5" s="6" t="s">
        <v>38</v>
      </c>
      <c r="H5" s="7">
        <f>IFERROR(INDEX('Referência por espécie'!$E$2:$E$65,MATCH(E5&amp;IF(F5="",""," "&amp;F5),'Referência por espécie'!$B$2:$B$65,0)),"")</f>
        <v>5.8333333333333339</v>
      </c>
      <c r="I5" s="8" t="str">
        <f>IFERROR(INDEX('Referência por espécie'!$I$2:$I$65,MATCH(E5&amp;IF(F5="",""," "&amp;F5),'Referência por espécie'!$B$2:$B$65,0)),"")</f>
        <v>sim</v>
      </c>
      <c r="J5" s="6"/>
    </row>
    <row r="6" spans="1:10" x14ac:dyDescent="0.3">
      <c r="A6" s="6" t="s">
        <v>30</v>
      </c>
      <c r="B6" s="6" t="s">
        <v>31</v>
      </c>
      <c r="C6" s="6" t="s">
        <v>32</v>
      </c>
      <c r="D6" s="6">
        <v>5</v>
      </c>
      <c r="E6" s="6" t="s">
        <v>39</v>
      </c>
      <c r="F6" s="6"/>
      <c r="G6" s="6" t="s">
        <v>39</v>
      </c>
      <c r="H6" s="7">
        <f>IFERROR(INDEX('Referência por espécie'!$E$2:$E$65,MATCH(E6&amp;IF(F6="",""," "&amp;F6),'Referência por espécie'!$B$2:$B$65,0)),"")</f>
        <v>1.6666666666666667</v>
      </c>
      <c r="I6" s="8" t="str">
        <f>IFERROR(INDEX('Referência por espécie'!$I$2:$I$65,MATCH(E6&amp;IF(F6="",""," "&amp;F6),'Referência por espécie'!$B$2:$B$65,0)),"")</f>
        <v>não</v>
      </c>
      <c r="J6" s="6" t="s">
        <v>40</v>
      </c>
    </row>
    <row r="7" spans="1:10" x14ac:dyDescent="0.3">
      <c r="A7" s="6" t="s">
        <v>30</v>
      </c>
      <c r="B7" s="6" t="s">
        <v>31</v>
      </c>
      <c r="C7" s="6" t="s">
        <v>32</v>
      </c>
      <c r="D7" s="6">
        <v>5</v>
      </c>
      <c r="E7" s="6" t="s">
        <v>41</v>
      </c>
      <c r="F7" s="6"/>
      <c r="G7" s="6" t="s">
        <v>42</v>
      </c>
      <c r="H7" s="7">
        <f>IFERROR(INDEX('Referência por espécie'!$E$2:$E$65,MATCH(E7&amp;IF(F7="",""," "&amp;F7),'Referência por espécie'!$B$2:$B$65,0)),"")</f>
        <v>5.9166666666666661</v>
      </c>
      <c r="I7" s="8" t="str">
        <f>IFERROR(INDEX('Referência por espécie'!$I$2:$I$65,MATCH(E7&amp;IF(F7="",""," "&amp;F7),'Referência por espécie'!$B$2:$B$65,0)),"")</f>
        <v>sim</v>
      </c>
      <c r="J7" s="6" t="s">
        <v>43</v>
      </c>
    </row>
    <row r="8" spans="1:10" x14ac:dyDescent="0.3">
      <c r="A8" s="6" t="s">
        <v>30</v>
      </c>
      <c r="B8" s="6" t="s">
        <v>31</v>
      </c>
      <c r="C8" s="6" t="s">
        <v>32</v>
      </c>
      <c r="D8" s="6">
        <v>5</v>
      </c>
      <c r="E8" s="6" t="s">
        <v>44</v>
      </c>
      <c r="F8" s="6"/>
      <c r="G8" s="6" t="s">
        <v>44</v>
      </c>
      <c r="H8" s="7">
        <f>IFERROR(INDEX('Referência por espécie'!$E$2:$E$65,MATCH(E8&amp;IF(F8="",""," "&amp;F8),'Referência por espécie'!$B$2:$B$65,0)),"")</f>
        <v>5</v>
      </c>
      <c r="I8" s="8" t="str">
        <f>IFERROR(INDEX('Referência por espécie'!$I$2:$I$65,MATCH(E8&amp;IF(F8="",""," "&amp;F8),'Referência por espécie'!$B$2:$B$65,0)),"")</f>
        <v>sim</v>
      </c>
      <c r="J8" s="6" t="s">
        <v>45</v>
      </c>
    </row>
    <row r="9" spans="1:10" x14ac:dyDescent="0.3">
      <c r="A9" s="6" t="s">
        <v>30</v>
      </c>
      <c r="B9" s="6" t="s">
        <v>31</v>
      </c>
      <c r="C9" s="6" t="s">
        <v>32</v>
      </c>
      <c r="D9" s="6">
        <v>5</v>
      </c>
      <c r="E9" s="6" t="s">
        <v>46</v>
      </c>
      <c r="F9" s="6"/>
      <c r="G9" s="6" t="s">
        <v>46</v>
      </c>
      <c r="H9" s="7">
        <f>IFERROR(INDEX('Referência por espécie'!$E$2:$E$65,MATCH(E9&amp;IF(F9="",""," "&amp;F9),'Referência por espécie'!$B$2:$B$65,0)),"")</f>
        <v>2</v>
      </c>
      <c r="I9" s="8" t="str">
        <f>IFERROR(INDEX('Referência por espécie'!$I$2:$I$65,MATCH(E9&amp;IF(F9="",""," "&amp;F9),'Referência por espécie'!$B$2:$B$65,0)),"")</f>
        <v>não</v>
      </c>
      <c r="J9" s="6"/>
    </row>
    <row r="10" spans="1:10" x14ac:dyDescent="0.3">
      <c r="A10" s="6" t="s">
        <v>30</v>
      </c>
      <c r="B10" s="6" t="s">
        <v>31</v>
      </c>
      <c r="C10" s="6" t="s">
        <v>32</v>
      </c>
      <c r="D10" s="6">
        <v>5</v>
      </c>
      <c r="E10" s="6" t="s">
        <v>47</v>
      </c>
      <c r="F10" s="6"/>
      <c r="G10" s="6" t="s">
        <v>47</v>
      </c>
      <c r="H10" s="7">
        <f>IFERROR(INDEX('Referência por espécie'!$E$2:$E$65,MATCH(E10&amp;IF(F10="",""," "&amp;F10),'Referência por espécie'!$B$2:$B$65,0)),"")</f>
        <v>10</v>
      </c>
      <c r="I10" s="8" t="str">
        <f>IFERROR(INDEX('Referência por espécie'!$I$2:$I$65,MATCH(E10&amp;IF(F10="",""," "&amp;F10),'Referência por espécie'!$B$2:$B$65,0)),"")</f>
        <v>sim</v>
      </c>
      <c r="J10" s="6"/>
    </row>
    <row r="11" spans="1:10" x14ac:dyDescent="0.3">
      <c r="A11" s="6" t="s">
        <v>30</v>
      </c>
      <c r="B11" s="6" t="s">
        <v>31</v>
      </c>
      <c r="C11" s="6" t="s">
        <v>32</v>
      </c>
      <c r="D11" s="6">
        <v>5</v>
      </c>
      <c r="E11" s="6" t="s">
        <v>48</v>
      </c>
      <c r="F11" s="6"/>
      <c r="G11" s="6" t="s">
        <v>48</v>
      </c>
      <c r="H11" s="7">
        <f>IFERROR(INDEX('Referência por espécie'!$E$2:$E$65,MATCH(E11&amp;IF(F11="",""," "&amp;F11),'Referência por espécie'!$B$2:$B$65,0)),"")</f>
        <v>5</v>
      </c>
      <c r="I11" s="8" t="str">
        <f>IFERROR(INDEX('Referência por espécie'!$I$2:$I$65,MATCH(E11&amp;IF(F11="",""," "&amp;F11),'Referência por espécie'!$B$2:$B$65,0)),"")</f>
        <v>sim</v>
      </c>
      <c r="J11" s="6"/>
    </row>
    <row r="12" spans="1:10" x14ac:dyDescent="0.3">
      <c r="A12" s="6" t="s">
        <v>30</v>
      </c>
      <c r="B12" s="6" t="s">
        <v>31</v>
      </c>
      <c r="C12" s="6" t="s">
        <v>32</v>
      </c>
      <c r="D12" s="6">
        <v>5</v>
      </c>
      <c r="E12" s="6" t="s">
        <v>49</v>
      </c>
      <c r="F12" s="6"/>
      <c r="G12" s="6" t="s">
        <v>49</v>
      </c>
      <c r="H12" s="7">
        <f>IFERROR(INDEX('Referência por espécie'!$E$2:$E$65,MATCH(E12&amp;IF(F12="",""," "&amp;F12),'Referência por espécie'!$B$2:$B$65,0)),"")</f>
        <v>6.25</v>
      </c>
      <c r="I12" s="8" t="str">
        <f>IFERROR(INDEX('Referência por espécie'!$I$2:$I$65,MATCH(E12&amp;IF(F12="",""," "&amp;F12),'Referência por espécie'!$B$2:$B$65,0)),"")</f>
        <v>sim</v>
      </c>
      <c r="J12" s="6"/>
    </row>
    <row r="13" spans="1:10" x14ac:dyDescent="0.3">
      <c r="A13" s="6" t="s">
        <v>30</v>
      </c>
      <c r="B13" s="6" t="s">
        <v>31</v>
      </c>
      <c r="C13" s="6" t="s">
        <v>32</v>
      </c>
      <c r="D13" s="6">
        <v>5</v>
      </c>
      <c r="E13" s="6" t="s">
        <v>50</v>
      </c>
      <c r="F13" s="6"/>
      <c r="G13" s="6" t="s">
        <v>50</v>
      </c>
      <c r="H13" s="7">
        <f>IFERROR(INDEX('Referência por espécie'!$E$2:$E$65,MATCH(E13&amp;IF(F13="",""," "&amp;F13),'Referência por espécie'!$B$2:$B$65,0)),"")</f>
        <v>5</v>
      </c>
      <c r="I13" s="8" t="str">
        <f>IFERROR(INDEX('Referência por espécie'!$I$2:$I$65,MATCH(E13&amp;IF(F13="",""," "&amp;F13),'Referência por espécie'!$B$2:$B$65,0)),"")</f>
        <v>sim</v>
      </c>
      <c r="J13" s="6"/>
    </row>
    <row r="14" spans="1:10" x14ac:dyDescent="0.3">
      <c r="A14" s="6" t="s">
        <v>30</v>
      </c>
      <c r="B14" s="6" t="s">
        <v>31</v>
      </c>
      <c r="C14" s="6" t="s">
        <v>32</v>
      </c>
      <c r="D14" s="6">
        <v>5</v>
      </c>
      <c r="E14" s="6" t="s">
        <v>51</v>
      </c>
      <c r="F14" s="6"/>
      <c r="G14" s="6" t="s">
        <v>51</v>
      </c>
      <c r="H14" s="7">
        <f>IFERROR(INDEX('Referência por espécie'!$E$2:$E$65,MATCH(E14&amp;IF(F14="",""," "&amp;F14),'Referência por espécie'!$B$2:$B$65,0)),"")</f>
        <v>7.5</v>
      </c>
      <c r="I14" s="8" t="str">
        <f>IFERROR(INDEX('Referência por espécie'!$I$2:$I$65,MATCH(E14&amp;IF(F14="",""," "&amp;F14),'Referência por espécie'!$B$2:$B$65,0)),"")</f>
        <v>sim</v>
      </c>
      <c r="J14" s="6"/>
    </row>
    <row r="15" spans="1:10" x14ac:dyDescent="0.3">
      <c r="A15" s="6" t="s">
        <v>30</v>
      </c>
      <c r="B15" s="6" t="s">
        <v>31</v>
      </c>
      <c r="C15" s="6" t="s">
        <v>52</v>
      </c>
      <c r="D15" s="6">
        <v>2</v>
      </c>
      <c r="E15" s="6" t="s">
        <v>53</v>
      </c>
      <c r="F15" s="6"/>
      <c r="G15" s="6" t="s">
        <v>54</v>
      </c>
      <c r="H15" s="7">
        <f>IFERROR(INDEX('Referência por espécie'!$E$2:$E$65,MATCH(E15&amp;IF(F15="",""," "&amp;F15),'Referência por espécie'!$B$2:$B$65,0)),"")</f>
        <v>2.125</v>
      </c>
      <c r="I15" s="8" t="str">
        <f>IFERROR(INDEX('Referência por espécie'!$I$2:$I$65,MATCH(E15&amp;IF(F15="",""," "&amp;F15),'Referência por espécie'!$B$2:$B$65,0)),"")</f>
        <v>não</v>
      </c>
      <c r="J15" s="6"/>
    </row>
    <row r="16" spans="1:10" x14ac:dyDescent="0.3">
      <c r="A16" s="6" t="s">
        <v>30</v>
      </c>
      <c r="B16" s="6" t="s">
        <v>31</v>
      </c>
      <c r="C16" s="6" t="s">
        <v>52</v>
      </c>
      <c r="D16" s="6">
        <v>2</v>
      </c>
      <c r="E16" s="6" t="s">
        <v>55</v>
      </c>
      <c r="F16" s="6"/>
      <c r="G16" s="6" t="s">
        <v>55</v>
      </c>
      <c r="H16" s="7">
        <f>IFERROR(INDEX('Referência por espécie'!$E$2:$E$65,MATCH(E16&amp;IF(F16="",""," "&amp;F16),'Referência por espécie'!$B$2:$B$65,0)),"")</f>
        <v>1.75</v>
      </c>
      <c r="I16" s="8" t="str">
        <f>IFERROR(INDEX('Referência por espécie'!$I$2:$I$65,MATCH(E16&amp;IF(F16="",""," "&amp;F16),'Referência por espécie'!$B$2:$B$65,0)),"")</f>
        <v>não</v>
      </c>
      <c r="J16" s="6"/>
    </row>
    <row r="17" spans="1:10" x14ac:dyDescent="0.3">
      <c r="A17" s="6" t="s">
        <v>30</v>
      </c>
      <c r="B17" s="6" t="s">
        <v>31</v>
      </c>
      <c r="C17" s="6" t="s">
        <v>52</v>
      </c>
      <c r="D17" s="6">
        <v>2</v>
      </c>
      <c r="E17" s="6" t="s">
        <v>56</v>
      </c>
      <c r="F17" s="6"/>
      <c r="G17" s="6" t="s">
        <v>56</v>
      </c>
      <c r="H17" s="7">
        <f>IFERROR(INDEX('Referência por espécie'!$E$2:$E$65,MATCH(E17&amp;IF(F17="",""," "&amp;F17),'Referência por espécie'!$B$2:$B$65,0)),"")</f>
        <v>12.5</v>
      </c>
      <c r="I17" s="8" t="str">
        <f>IFERROR(INDEX('Referência por espécie'!$I$2:$I$65,MATCH(E17&amp;IF(F17="",""," "&amp;F17),'Referência por espécie'!$B$2:$B$65,0)),"")</f>
        <v>sim</v>
      </c>
      <c r="J17" s="6"/>
    </row>
    <row r="18" spans="1:10" x14ac:dyDescent="0.3">
      <c r="A18" s="6" t="s">
        <v>30</v>
      </c>
      <c r="B18" s="6" t="s">
        <v>31</v>
      </c>
      <c r="C18" s="6" t="s">
        <v>57</v>
      </c>
      <c r="D18" s="6">
        <v>10</v>
      </c>
      <c r="E18" s="6" t="s">
        <v>58</v>
      </c>
      <c r="F18" s="6"/>
      <c r="G18" s="6" t="s">
        <v>59</v>
      </c>
      <c r="H18" s="7">
        <f>IFERROR(INDEX('Referência por espécie'!$E$2:$E$65,MATCH(E18&amp;IF(F18="",""," "&amp;F18),'Referência por espécie'!$B$2:$B$65,0)),"")</f>
        <v>2.5</v>
      </c>
      <c r="I18" s="8" t="str">
        <f>IFERROR(INDEX('Referência por espécie'!$I$2:$I$65,MATCH(E18&amp;IF(F18="",""," "&amp;F18),'Referência por espécie'!$B$2:$B$65,0)),"")</f>
        <v>não</v>
      </c>
      <c r="J18" s="6"/>
    </row>
    <row r="19" spans="1:10" x14ac:dyDescent="0.3">
      <c r="A19" s="6" t="s">
        <v>30</v>
      </c>
      <c r="B19" s="6" t="s">
        <v>31</v>
      </c>
      <c r="C19" s="6" t="s">
        <v>57</v>
      </c>
      <c r="D19" s="6">
        <v>10</v>
      </c>
      <c r="E19" s="6" t="s">
        <v>60</v>
      </c>
      <c r="F19" s="6"/>
      <c r="G19" s="6" t="s">
        <v>60</v>
      </c>
      <c r="H19" s="7">
        <f>IFERROR(INDEX('Referência por espécie'!$E$2:$E$65,MATCH(E19&amp;IF(F19="",""," "&amp;F19),'Referência por espécie'!$B$2:$B$65,0)),"")</f>
        <v>4.4000000000000004</v>
      </c>
      <c r="I19" s="8" t="str">
        <f>IFERROR(INDEX('Referência por espécie'!$I$2:$I$65,MATCH(E19&amp;IF(F19="",""," "&amp;F19),'Referência por espécie'!$B$2:$B$65,0)),"")</f>
        <v>sim</v>
      </c>
      <c r="J19" s="6"/>
    </row>
    <row r="20" spans="1:10" x14ac:dyDescent="0.3">
      <c r="A20" s="6" t="s">
        <v>30</v>
      </c>
      <c r="B20" s="6" t="s">
        <v>31</v>
      </c>
      <c r="C20" s="6" t="s">
        <v>57</v>
      </c>
      <c r="D20" s="6">
        <v>10</v>
      </c>
      <c r="E20" s="6" t="s">
        <v>61</v>
      </c>
      <c r="F20" s="6"/>
      <c r="G20" s="6" t="s">
        <v>61</v>
      </c>
      <c r="H20" s="7">
        <f>IFERROR(INDEX('Referência por espécie'!$E$2:$E$65,MATCH(E20&amp;IF(F20="",""," "&amp;F20),'Referência por espécie'!$B$2:$B$65,0)),"")</f>
        <v>3.25</v>
      </c>
      <c r="I20" s="8" t="str">
        <f>IFERROR(INDEX('Referência por espécie'!$I$2:$I$65,MATCH(E20&amp;IF(F20="",""," "&amp;F20),'Referência por espécie'!$B$2:$B$65,0)),"")</f>
        <v>não</v>
      </c>
      <c r="J20" s="6"/>
    </row>
    <row r="21" spans="1:10" x14ac:dyDescent="0.3">
      <c r="A21" s="6" t="s">
        <v>30</v>
      </c>
      <c r="B21" s="6" t="s">
        <v>31</v>
      </c>
      <c r="C21" s="6" t="s">
        <v>57</v>
      </c>
      <c r="D21" s="6">
        <v>10</v>
      </c>
      <c r="E21" s="6" t="s">
        <v>62</v>
      </c>
      <c r="F21" s="6"/>
      <c r="G21" s="6" t="s">
        <v>62</v>
      </c>
      <c r="H21" s="7">
        <f>IFERROR(INDEX('Referência por espécie'!$E$2:$E$65,MATCH(E21&amp;IF(F21="",""," "&amp;F21),'Referência por espécie'!$B$2:$B$65,0)),"")</f>
        <v>1.75</v>
      </c>
      <c r="I21" s="8" t="str">
        <f>IFERROR(INDEX('Referência por espécie'!$I$2:$I$65,MATCH(E21&amp;IF(F21="",""," "&amp;F21),'Referência por espécie'!$B$2:$B$65,0)),"")</f>
        <v>não</v>
      </c>
      <c r="J21" s="6"/>
    </row>
    <row r="22" spans="1:10" x14ac:dyDescent="0.3">
      <c r="A22" s="6" t="s">
        <v>30</v>
      </c>
      <c r="B22" s="6" t="s">
        <v>31</v>
      </c>
      <c r="C22" s="6" t="s">
        <v>57</v>
      </c>
      <c r="D22" s="6">
        <v>10</v>
      </c>
      <c r="E22" s="6" t="s">
        <v>63</v>
      </c>
      <c r="F22" s="6"/>
      <c r="G22" s="6" t="s">
        <v>63</v>
      </c>
      <c r="H22" s="7">
        <f>IFERROR(INDEX('Referência por espécie'!$E$2:$E$65,MATCH(E22&amp;IF(F22="",""," "&amp;F22),'Referência por espécie'!$B$2:$B$65,0)),"")</f>
        <v>6.5</v>
      </c>
      <c r="I22" s="8" t="str">
        <f>IFERROR(INDEX('Referência por espécie'!$I$2:$I$65,MATCH(E22&amp;IF(F22="",""," "&amp;F22),'Referência por espécie'!$B$2:$B$65,0)),"")</f>
        <v>sim</v>
      </c>
      <c r="J22" s="6"/>
    </row>
    <row r="23" spans="1:10" x14ac:dyDescent="0.3">
      <c r="A23" s="6" t="s">
        <v>30</v>
      </c>
      <c r="B23" s="6" t="s">
        <v>31</v>
      </c>
      <c r="C23" s="6" t="s">
        <v>57</v>
      </c>
      <c r="D23" s="6">
        <v>10</v>
      </c>
      <c r="E23" s="6" t="s">
        <v>64</v>
      </c>
      <c r="F23" s="6"/>
      <c r="G23" s="6" t="s">
        <v>64</v>
      </c>
      <c r="H23" s="7">
        <f>IFERROR(INDEX('Referência por espécie'!$E$2:$E$65,MATCH(E23&amp;IF(F23="",""," "&amp;F23),'Referência por espécie'!$B$2:$B$65,0)),"")</f>
        <v>2</v>
      </c>
      <c r="I23" s="8" t="str">
        <f>IFERROR(INDEX('Referência por espécie'!$I$2:$I$65,MATCH(E23&amp;IF(F23="",""," "&amp;F23),'Referência por espécie'!$B$2:$B$65,0)),"")</f>
        <v>não</v>
      </c>
      <c r="J23" s="6"/>
    </row>
    <row r="24" spans="1:10" x14ac:dyDescent="0.3">
      <c r="A24" s="6" t="s">
        <v>30</v>
      </c>
      <c r="B24" s="6" t="s">
        <v>31</v>
      </c>
      <c r="C24" s="6" t="s">
        <v>57</v>
      </c>
      <c r="D24" s="6">
        <v>10</v>
      </c>
      <c r="E24" s="6" t="s">
        <v>65</v>
      </c>
      <c r="F24" s="6"/>
      <c r="G24" s="6" t="s">
        <v>65</v>
      </c>
      <c r="H24" s="7">
        <f>IFERROR(INDEX('Referência por espécie'!$E$2:$E$65,MATCH(E24&amp;IF(F24="",""," "&amp;F24),'Referência por espécie'!$B$2:$B$65,0)),"")</f>
        <v>7</v>
      </c>
      <c r="I24" s="8" t="str">
        <f>IFERROR(INDEX('Referência por espécie'!$I$2:$I$65,MATCH(E24&amp;IF(F24="",""," "&amp;F24),'Referência por espécie'!$B$2:$B$65,0)),"")</f>
        <v>sim</v>
      </c>
      <c r="J24" s="6"/>
    </row>
    <row r="25" spans="1:10" x14ac:dyDescent="0.3">
      <c r="A25" s="6" t="s">
        <v>30</v>
      </c>
      <c r="B25" s="6" t="s">
        <v>31</v>
      </c>
      <c r="C25" s="6" t="s">
        <v>57</v>
      </c>
      <c r="D25" s="6">
        <v>10</v>
      </c>
      <c r="E25" s="6" t="s">
        <v>66</v>
      </c>
      <c r="F25" s="6"/>
      <c r="G25" s="6" t="s">
        <v>66</v>
      </c>
      <c r="H25" s="7">
        <f>IFERROR(INDEX('Referência por espécie'!$E$2:$E$65,MATCH(E25&amp;IF(F25="",""," "&amp;F25),'Referência por espécie'!$B$2:$B$65,0)),"")</f>
        <v>4</v>
      </c>
      <c r="I25" s="8" t="str">
        <f>IFERROR(INDEX('Referência por espécie'!$I$2:$I$65,MATCH(E25&amp;IF(F25="",""," "&amp;F25),'Referência por espécie'!$B$2:$B$65,0)),"")</f>
        <v>sim</v>
      </c>
      <c r="J25" s="6"/>
    </row>
    <row r="26" spans="1:10" x14ac:dyDescent="0.3">
      <c r="A26" s="6" t="s">
        <v>30</v>
      </c>
      <c r="B26" s="6" t="s">
        <v>31</v>
      </c>
      <c r="C26" s="6" t="s">
        <v>57</v>
      </c>
      <c r="D26" s="6">
        <v>10</v>
      </c>
      <c r="E26" s="6" t="s">
        <v>67</v>
      </c>
      <c r="F26" s="6"/>
      <c r="G26" s="6" t="s">
        <v>68</v>
      </c>
      <c r="H26" s="7">
        <f>IFERROR(INDEX('Referência por espécie'!$E$2:$E$65,MATCH(E26&amp;IF(F26="",""," "&amp;F26),'Referência por espécie'!$B$2:$B$65,0)),"")</f>
        <v>2.260416666666667</v>
      </c>
      <c r="I26" s="8" t="str">
        <f>IFERROR(INDEX('Referência por espécie'!$I$2:$I$65,MATCH(E26&amp;IF(F26="",""," "&amp;F26),'Referência por espécie'!$B$2:$B$65,0)),"")</f>
        <v>não</v>
      </c>
      <c r="J26" s="6" t="s">
        <v>69</v>
      </c>
    </row>
    <row r="27" spans="1:10" x14ac:dyDescent="0.3">
      <c r="A27" s="6" t="s">
        <v>30</v>
      </c>
      <c r="B27" s="6" t="s">
        <v>31</v>
      </c>
      <c r="C27" s="6" t="s">
        <v>57</v>
      </c>
      <c r="D27" s="6">
        <v>10</v>
      </c>
      <c r="E27" s="6" t="s">
        <v>70</v>
      </c>
      <c r="F27" s="6"/>
      <c r="G27" s="6" t="s">
        <v>68</v>
      </c>
      <c r="H27" s="7">
        <f>IFERROR(INDEX('Referência por espécie'!$E$2:$E$65,MATCH(E27&amp;IF(F27="",""," "&amp;F27),'Referência por espécie'!$B$2:$B$65,0)),"")</f>
        <v>3.0475000000000003</v>
      </c>
      <c r="I27" s="8" t="str">
        <f>IFERROR(INDEX('Referência por espécie'!$I$2:$I$65,MATCH(E27&amp;IF(F27="",""," "&amp;F27),'Referência por espécie'!$B$2:$B$65,0)),"")</f>
        <v>não</v>
      </c>
      <c r="J27" s="6" t="s">
        <v>69</v>
      </c>
    </row>
    <row r="28" spans="1:10" x14ac:dyDescent="0.3">
      <c r="A28" s="6" t="s">
        <v>30</v>
      </c>
      <c r="B28" s="6" t="s">
        <v>31</v>
      </c>
      <c r="C28" s="6" t="s">
        <v>57</v>
      </c>
      <c r="D28" s="6">
        <v>10</v>
      </c>
      <c r="E28" s="6" t="s">
        <v>71</v>
      </c>
      <c r="F28" s="6"/>
      <c r="G28" s="6" t="s">
        <v>71</v>
      </c>
      <c r="H28" s="7">
        <f>IFERROR(INDEX('Referência por espécie'!$E$2:$E$65,MATCH(E28&amp;IF(F28="",""," "&amp;F28),'Referência por espécie'!$B$2:$B$65,0)),"")</f>
        <v>2.75</v>
      </c>
      <c r="I28" s="8" t="str">
        <f>IFERROR(INDEX('Referência por espécie'!$I$2:$I$65,MATCH(E28&amp;IF(F28="",""," "&amp;F28),'Referência por espécie'!$B$2:$B$65,0)),"")</f>
        <v>não</v>
      </c>
      <c r="J28" s="6"/>
    </row>
    <row r="29" spans="1:10" x14ac:dyDescent="0.3">
      <c r="A29" s="6" t="s">
        <v>30</v>
      </c>
      <c r="B29" s="6" t="s">
        <v>72</v>
      </c>
      <c r="C29" s="6" t="s">
        <v>72</v>
      </c>
      <c r="D29" s="6">
        <v>6</v>
      </c>
      <c r="E29" s="6" t="s">
        <v>73</v>
      </c>
      <c r="F29" s="6"/>
      <c r="G29" s="6" t="s">
        <v>74</v>
      </c>
      <c r="H29" s="7">
        <f>IFERROR(INDEX('Referência por espécie'!$E$2:$E$65,MATCH(E29&amp;IF(F29="",""," "&amp;F29),'Referência por espécie'!$B$2:$B$65,0)),"")</f>
        <v>6</v>
      </c>
      <c r="I29" s="8" t="str">
        <f>IFERROR(INDEX('Referência por espécie'!$I$2:$I$65,MATCH(E29&amp;IF(F29="",""," "&amp;F29),'Referência por espécie'!$B$2:$B$65,0)),"")</f>
        <v>sim</v>
      </c>
      <c r="J29" s="6"/>
    </row>
    <row r="30" spans="1:10" x14ac:dyDescent="0.3">
      <c r="A30" s="6" t="s">
        <v>30</v>
      </c>
      <c r="B30" s="6" t="s">
        <v>72</v>
      </c>
      <c r="C30" s="6" t="s">
        <v>72</v>
      </c>
      <c r="D30" s="6">
        <v>6</v>
      </c>
      <c r="E30" s="6" t="s">
        <v>75</v>
      </c>
      <c r="F30" s="6"/>
      <c r="G30" s="6" t="s">
        <v>75</v>
      </c>
      <c r="H30" s="7">
        <f>IFERROR(INDEX('Referência por espécie'!$E$2:$E$65,MATCH(E30&amp;IF(F30="",""," "&amp;F30),'Referência por espécie'!$B$2:$B$65,0)),"")</f>
        <v>2.5</v>
      </c>
      <c r="I30" s="8" t="str">
        <f>IFERROR(INDEX('Referência por espécie'!$I$2:$I$65,MATCH(E30&amp;IF(F30="",""," "&amp;F30),'Referência por espécie'!$B$2:$B$65,0)),"")</f>
        <v>não</v>
      </c>
      <c r="J30" s="6"/>
    </row>
    <row r="31" spans="1:10" x14ac:dyDescent="0.3">
      <c r="A31" s="6" t="s">
        <v>30</v>
      </c>
      <c r="B31" s="6" t="s">
        <v>72</v>
      </c>
      <c r="C31" s="6" t="s">
        <v>72</v>
      </c>
      <c r="D31" s="6">
        <v>6</v>
      </c>
      <c r="E31" s="6" t="s">
        <v>76</v>
      </c>
      <c r="F31" s="6"/>
      <c r="G31" s="6" t="s">
        <v>76</v>
      </c>
      <c r="H31" s="7">
        <f>IFERROR(INDEX('Referência por espécie'!$E$2:$E$65,MATCH(E31&amp;IF(F31="",""," "&amp;F31),'Referência por espécie'!$B$2:$B$65,0)),"")</f>
        <v>8.125</v>
      </c>
      <c r="I31" s="8" t="str">
        <f>IFERROR(INDEX('Referência por espécie'!$I$2:$I$65,MATCH(E31&amp;IF(F31="",""," "&amp;F31),'Referência por espécie'!$B$2:$B$65,0)),"")</f>
        <v>sim</v>
      </c>
      <c r="J31" s="6"/>
    </row>
    <row r="32" spans="1:10" x14ac:dyDescent="0.3">
      <c r="A32" s="6" t="s">
        <v>30</v>
      </c>
      <c r="B32" s="6" t="s">
        <v>72</v>
      </c>
      <c r="C32" s="6" t="s">
        <v>72</v>
      </c>
      <c r="D32" s="6">
        <v>6</v>
      </c>
      <c r="E32" s="6" t="s">
        <v>77</v>
      </c>
      <c r="F32" s="6"/>
      <c r="G32" s="6" t="s">
        <v>78</v>
      </c>
      <c r="H32" s="7">
        <f>IFERROR(INDEX('Referência por espécie'!$E$2:$E$65,MATCH(E32&amp;IF(F32="",""," "&amp;F32),'Referência por espécie'!$B$2:$B$65,0)),"")</f>
        <v>13.333333333333334</v>
      </c>
      <c r="I32" s="8" t="str">
        <f>IFERROR(INDEX('Referência por espécie'!$I$2:$I$65,MATCH(E32&amp;IF(F32="",""," "&amp;F32),'Referência por espécie'!$B$2:$B$65,0)),"")</f>
        <v>sim</v>
      </c>
      <c r="J32" s="6" t="s">
        <v>79</v>
      </c>
    </row>
    <row r="33" spans="1:10" x14ac:dyDescent="0.3">
      <c r="A33" s="6" t="s">
        <v>30</v>
      </c>
      <c r="B33" s="6" t="s">
        <v>72</v>
      </c>
      <c r="C33" s="6" t="s">
        <v>72</v>
      </c>
      <c r="D33" s="6">
        <v>6</v>
      </c>
      <c r="E33" s="6" t="s">
        <v>80</v>
      </c>
      <c r="F33" s="6"/>
      <c r="G33" s="6" t="s">
        <v>80</v>
      </c>
      <c r="H33" s="7">
        <f>IFERROR(INDEX('Referência por espécie'!$E$2:$E$65,MATCH(E33&amp;IF(F33="",""," "&amp;F33),'Referência por espécie'!$B$2:$B$65,0)),"")</f>
        <v>24</v>
      </c>
      <c r="I33" s="8" t="str">
        <f>IFERROR(INDEX('Referência por espécie'!$I$2:$I$65,MATCH(E33&amp;IF(F33="",""," "&amp;F33),'Referência por espécie'!$B$2:$B$65,0)),"")</f>
        <v>sim</v>
      </c>
      <c r="J33" s="6"/>
    </row>
    <row r="34" spans="1:10" x14ac:dyDescent="0.3">
      <c r="A34" s="6" t="s">
        <v>30</v>
      </c>
      <c r="B34" s="6" t="s">
        <v>72</v>
      </c>
      <c r="C34" s="6" t="s">
        <v>72</v>
      </c>
      <c r="D34" s="6">
        <v>6</v>
      </c>
      <c r="E34" s="6" t="s">
        <v>81</v>
      </c>
      <c r="F34" s="6"/>
      <c r="G34" s="6" t="s">
        <v>81</v>
      </c>
      <c r="H34" s="7">
        <f>IFERROR(INDEX('Referência por espécie'!$E$2:$E$65,MATCH(E34&amp;IF(F34="",""," "&amp;F34),'Referência por espécie'!$B$2:$B$65,0)),"")</f>
        <v>6.1111111111111107</v>
      </c>
      <c r="I34" s="8" t="str">
        <f>IFERROR(INDEX('Referência por espécie'!$I$2:$I$65,MATCH(E34&amp;IF(F34="",""," "&amp;F34),'Referência por espécie'!$B$2:$B$65,0)),"")</f>
        <v>sim</v>
      </c>
      <c r="J34" s="6"/>
    </row>
    <row r="35" spans="1:10" x14ac:dyDescent="0.3">
      <c r="A35" s="6" t="s">
        <v>30</v>
      </c>
      <c r="B35" s="6" t="s">
        <v>72</v>
      </c>
      <c r="C35" s="6" t="s">
        <v>72</v>
      </c>
      <c r="D35" s="6">
        <v>6</v>
      </c>
      <c r="E35" s="6" t="s">
        <v>82</v>
      </c>
      <c r="F35" s="6"/>
      <c r="G35" s="6" t="s">
        <v>82</v>
      </c>
      <c r="H35" s="7">
        <f>IFERROR(INDEX('Referência por espécie'!$E$2:$E$65,MATCH(E35&amp;IF(F35="",""," "&amp;F35),'Referência por espécie'!$B$2:$B$65,0)),"")</f>
        <v>5.66</v>
      </c>
      <c r="I35" s="8" t="str">
        <f>IFERROR(INDEX('Referência por espécie'!$I$2:$I$65,MATCH(E35&amp;IF(F35="",""," "&amp;F35),'Referência por espécie'!$B$2:$B$65,0)),"")</f>
        <v>sim</v>
      </c>
      <c r="J35" s="6"/>
    </row>
    <row r="36" spans="1:10" x14ac:dyDescent="0.3">
      <c r="A36" s="6" t="s">
        <v>30</v>
      </c>
      <c r="B36" s="6" t="s">
        <v>72</v>
      </c>
      <c r="C36" s="6" t="s">
        <v>72</v>
      </c>
      <c r="D36" s="6">
        <v>6</v>
      </c>
      <c r="E36" s="6" t="s">
        <v>83</v>
      </c>
      <c r="F36" s="6"/>
      <c r="G36" s="6" t="s">
        <v>83</v>
      </c>
      <c r="H36" s="7">
        <f>IFERROR(INDEX('Referência por espécie'!$E$2:$E$65,MATCH(E36&amp;IF(F36="",""," "&amp;F36),'Referência por espécie'!$B$2:$B$65,0)),"")</f>
        <v>21.25</v>
      </c>
      <c r="I36" s="8" t="str">
        <f>IFERROR(INDEX('Referência por espécie'!$I$2:$I$65,MATCH(E36&amp;IF(F36="",""," "&amp;F36),'Referência por espécie'!$B$2:$B$65,0)),"")</f>
        <v>sim</v>
      </c>
      <c r="J36" s="6"/>
    </row>
    <row r="37" spans="1:10" x14ac:dyDescent="0.3">
      <c r="A37" s="6" t="s">
        <v>30</v>
      </c>
      <c r="B37" s="6" t="s">
        <v>72</v>
      </c>
      <c r="C37" s="6" t="s">
        <v>72</v>
      </c>
      <c r="D37" s="6">
        <v>6</v>
      </c>
      <c r="E37" s="6" t="s">
        <v>84</v>
      </c>
      <c r="F37" s="6"/>
      <c r="G37" s="6" t="s">
        <v>84</v>
      </c>
      <c r="H37" s="7">
        <f>IFERROR(INDEX('Referência por espécie'!$E$2:$E$65,MATCH(E37&amp;IF(F37="",""," "&amp;F37),'Referência por espécie'!$B$2:$B$65,0)),"")</f>
        <v>6.1538461538461542</v>
      </c>
      <c r="I37" s="8" t="str">
        <f>IFERROR(INDEX('Referência por espécie'!$I$2:$I$65,MATCH(E37&amp;IF(F37="",""," "&amp;F37),'Referência por espécie'!$B$2:$B$65,0)),"")</f>
        <v>sim</v>
      </c>
      <c r="J37" s="6"/>
    </row>
    <row r="38" spans="1:10" x14ac:dyDescent="0.3">
      <c r="A38" s="6" t="s">
        <v>30</v>
      </c>
      <c r="B38" s="6" t="s">
        <v>72</v>
      </c>
      <c r="C38" s="6" t="s">
        <v>85</v>
      </c>
      <c r="D38" s="6">
        <v>3</v>
      </c>
      <c r="E38" s="6" t="s">
        <v>86</v>
      </c>
      <c r="F38" s="6" t="s">
        <v>87</v>
      </c>
      <c r="G38" s="6" t="s">
        <v>88</v>
      </c>
      <c r="H38" s="7">
        <f>IFERROR(INDEX('Referência por espécie'!$E$2:$E$65,MATCH(E38&amp;IF(F38="",""," "&amp;F38),'Referência por espécie'!$B$2:$B$65,0)),"")</f>
        <v>2.5</v>
      </c>
      <c r="I38" s="8" t="str">
        <f>IFERROR(INDEX('Referência por espécie'!$I$2:$I$65,MATCH(E38&amp;IF(F38="",""," "&amp;F38),'Referência por espécie'!$B$2:$B$65,0)),"")</f>
        <v>não</v>
      </c>
      <c r="J38" s="6"/>
    </row>
    <row r="39" spans="1:10" x14ac:dyDescent="0.3">
      <c r="A39" s="6" t="s">
        <v>30</v>
      </c>
      <c r="B39" s="6" t="s">
        <v>72</v>
      </c>
      <c r="C39" s="6" t="s">
        <v>85</v>
      </c>
      <c r="D39" s="6">
        <v>3</v>
      </c>
      <c r="E39" s="6" t="s">
        <v>86</v>
      </c>
      <c r="F39" s="6" t="s">
        <v>89</v>
      </c>
      <c r="G39" s="6" t="s">
        <v>90</v>
      </c>
      <c r="H39" s="7">
        <f>IFERROR(INDEX('Referência por espécie'!$E$2:$E$65,MATCH(E39&amp;IF(F39="",""," "&amp;F39),'Referência por espécie'!$B$2:$B$65,0)),"")</f>
        <v>4.25</v>
      </c>
      <c r="I39" s="8" t="str">
        <f>IFERROR(INDEX('Referência por espécie'!$I$2:$I$65,MATCH(E39&amp;IF(F39="",""," "&amp;F39),'Referência por espécie'!$B$2:$B$65,0)),"")</f>
        <v>sim</v>
      </c>
      <c r="J39" s="6"/>
    </row>
    <row r="40" spans="1:10" x14ac:dyDescent="0.3">
      <c r="A40" s="6" t="s">
        <v>30</v>
      </c>
      <c r="B40" s="6" t="s">
        <v>72</v>
      </c>
      <c r="C40" s="6" t="s">
        <v>85</v>
      </c>
      <c r="D40" s="6">
        <v>3</v>
      </c>
      <c r="E40" s="6" t="s">
        <v>91</v>
      </c>
      <c r="F40" s="6" t="s">
        <v>92</v>
      </c>
      <c r="G40" s="6" t="s">
        <v>93</v>
      </c>
      <c r="H40" s="7">
        <f>IFERROR(INDEX('Referência por espécie'!$E$2:$E$65,MATCH(E40&amp;IF(F40="",""," "&amp;F40),'Referência por espécie'!$B$2:$B$65,0)),"")</f>
        <v>2.5</v>
      </c>
      <c r="I40" s="8" t="str">
        <f>IFERROR(INDEX('Referência por espécie'!$I$2:$I$65,MATCH(E40&amp;IF(F40="",""," "&amp;F40),'Referência por espécie'!$B$2:$B$65,0)),"")</f>
        <v>não</v>
      </c>
      <c r="J40" s="6"/>
    </row>
    <row r="41" spans="1:10" x14ac:dyDescent="0.3">
      <c r="A41" s="6" t="s">
        <v>30</v>
      </c>
      <c r="B41" s="6" t="s">
        <v>72</v>
      </c>
      <c r="C41" s="6" t="s">
        <v>85</v>
      </c>
      <c r="D41" s="6">
        <v>3</v>
      </c>
      <c r="E41" s="6" t="s">
        <v>91</v>
      </c>
      <c r="F41" s="6" t="s">
        <v>94</v>
      </c>
      <c r="G41" s="6" t="s">
        <v>95</v>
      </c>
      <c r="H41" s="7">
        <f>IFERROR(INDEX('Referência por espécie'!$E$2:$E$65,MATCH(E41&amp;IF(F41="",""," "&amp;F41),'Referência por espécie'!$B$2:$B$65,0)),"")</f>
        <v>8.695652173913043</v>
      </c>
      <c r="I41" s="8" t="str">
        <f>IFERROR(INDEX('Referência por espécie'!$I$2:$I$65,MATCH(E41&amp;IF(F41="",""," "&amp;F41),'Referência por espécie'!$B$2:$B$65,0)),"")</f>
        <v>sim</v>
      </c>
      <c r="J41" s="6"/>
    </row>
    <row r="42" spans="1:10" x14ac:dyDescent="0.3">
      <c r="A42" s="6" t="s">
        <v>30</v>
      </c>
      <c r="B42" s="6" t="s">
        <v>72</v>
      </c>
      <c r="C42" s="6" t="s">
        <v>85</v>
      </c>
      <c r="D42" s="6">
        <v>3</v>
      </c>
      <c r="E42" s="6" t="s">
        <v>96</v>
      </c>
      <c r="F42" s="6" t="s">
        <v>97</v>
      </c>
      <c r="G42" s="6" t="s">
        <v>98</v>
      </c>
      <c r="H42" s="7">
        <f>IFERROR(INDEX('Referência por espécie'!$E$2:$E$65,MATCH(E42&amp;IF(F42="",""," "&amp;F42),'Referência por espécie'!$B$2:$B$65,0)),"")</f>
        <v>5</v>
      </c>
      <c r="I42" s="8" t="str">
        <f>IFERROR(INDEX('Referência por espécie'!$I$2:$I$65,MATCH(E42&amp;IF(F42="",""," "&amp;F42),'Referência por espécie'!$B$2:$B$65,0)),"")</f>
        <v>sim</v>
      </c>
      <c r="J42" s="6"/>
    </row>
    <row r="43" spans="1:10" x14ac:dyDescent="0.3">
      <c r="A43" s="6" t="s">
        <v>30</v>
      </c>
      <c r="B43" s="6" t="s">
        <v>72</v>
      </c>
      <c r="C43" s="6" t="s">
        <v>85</v>
      </c>
      <c r="D43" s="6">
        <v>3</v>
      </c>
      <c r="E43" s="6" t="s">
        <v>96</v>
      </c>
      <c r="F43" s="6" t="s">
        <v>99</v>
      </c>
      <c r="G43" s="6" t="s">
        <v>99</v>
      </c>
      <c r="H43" s="7">
        <f>IFERROR(INDEX('Referência por espécie'!$E$2:$E$65,MATCH(E43&amp;IF(F43="",""," "&amp;F43),'Referência por espécie'!$B$2:$B$65,0)),"")</f>
        <v>2.5</v>
      </c>
      <c r="I43" s="8" t="str">
        <f>IFERROR(INDEX('Referência por espécie'!$I$2:$I$65,MATCH(E43&amp;IF(F43="",""," "&amp;F43),'Referência por espécie'!$B$2:$B$65,0)),"")</f>
        <v>não</v>
      </c>
      <c r="J43" s="6" t="s">
        <v>100</v>
      </c>
    </row>
    <row r="44" spans="1:10" x14ac:dyDescent="0.3">
      <c r="A44" s="6" t="s">
        <v>30</v>
      </c>
      <c r="B44" s="6" t="s">
        <v>72</v>
      </c>
      <c r="C44" s="6" t="s">
        <v>85</v>
      </c>
      <c r="D44" s="6">
        <v>3</v>
      </c>
      <c r="E44" s="6" t="s">
        <v>96</v>
      </c>
      <c r="F44" s="6" t="s">
        <v>101</v>
      </c>
      <c r="G44" s="6" t="s">
        <v>102</v>
      </c>
      <c r="H44" s="7">
        <f>IFERROR(INDEX('Referência por espécie'!$E$2:$E$65,MATCH(E44&amp;IF(F44="",""," "&amp;F44),'Referência por espécie'!$B$2:$B$65,0)),"")</f>
        <v>4.7826086956521738</v>
      </c>
      <c r="I44" s="8" t="str">
        <f>IFERROR(INDEX('Referência por espécie'!$I$2:$I$65,MATCH(E44&amp;IF(F44="",""," "&amp;F44),'Referência por espécie'!$B$2:$B$65,0)),"")</f>
        <v>sim</v>
      </c>
      <c r="J44" s="6" t="s">
        <v>103</v>
      </c>
    </row>
    <row r="45" spans="1:10" x14ac:dyDescent="0.3">
      <c r="A45" s="6" t="s">
        <v>104</v>
      </c>
      <c r="B45" s="6" t="s">
        <v>31</v>
      </c>
      <c r="C45" s="6" t="s">
        <v>32</v>
      </c>
      <c r="D45" s="6">
        <v>3</v>
      </c>
      <c r="E45" s="6" t="s">
        <v>33</v>
      </c>
      <c r="F45" s="6"/>
      <c r="G45" s="6" t="s">
        <v>34</v>
      </c>
      <c r="H45" s="7">
        <f>IFERROR(INDEX('Referência por espécie'!$E$2:$E$65,MATCH(E45&amp;IF(F45="",""," "&amp;F45),'Referência por espécie'!$B$2:$B$65,0)),"")</f>
        <v>4.2857142857142856</v>
      </c>
      <c r="I45" s="8" t="str">
        <f>IFERROR(INDEX('Referência por espécie'!$I$2:$I$65,MATCH(E45&amp;IF(F45="",""," "&amp;F45),'Referência por espécie'!$B$2:$B$65,0)),"")</f>
        <v>sim</v>
      </c>
      <c r="J45" s="6"/>
    </row>
    <row r="46" spans="1:10" x14ac:dyDescent="0.3">
      <c r="A46" s="6" t="s">
        <v>104</v>
      </c>
      <c r="B46" s="6" t="s">
        <v>31</v>
      </c>
      <c r="C46" s="6" t="s">
        <v>32</v>
      </c>
      <c r="D46" s="6">
        <v>3</v>
      </c>
      <c r="E46" s="6" t="s">
        <v>37</v>
      </c>
      <c r="F46" s="6"/>
      <c r="G46" s="6" t="s">
        <v>37</v>
      </c>
      <c r="H46" s="7">
        <f>IFERROR(INDEX('Referência por espécie'!$E$2:$E$65,MATCH(E46&amp;IF(F46="",""," "&amp;F46),'Referência por espécie'!$B$2:$B$65,0)),"")</f>
        <v>6.25</v>
      </c>
      <c r="I46" s="8" t="str">
        <f>IFERROR(INDEX('Referência por espécie'!$I$2:$I$65,MATCH(E46&amp;IF(F46="",""," "&amp;F46),'Referência por espécie'!$B$2:$B$65,0)),"")</f>
        <v>sim</v>
      </c>
      <c r="J46" s="6"/>
    </row>
    <row r="47" spans="1:10" x14ac:dyDescent="0.3">
      <c r="A47" s="6" t="s">
        <v>104</v>
      </c>
      <c r="B47" s="6" t="s">
        <v>31</v>
      </c>
      <c r="C47" s="6" t="s">
        <v>32</v>
      </c>
      <c r="D47" s="6">
        <v>3</v>
      </c>
      <c r="E47" s="6" t="s">
        <v>47</v>
      </c>
      <c r="F47" s="6"/>
      <c r="G47" s="6" t="s">
        <v>105</v>
      </c>
      <c r="H47" s="7">
        <f>IFERROR(INDEX('Referência por espécie'!$E$2:$E$65,MATCH(E47&amp;IF(F47="",""," "&amp;F47),'Referência por espécie'!$B$2:$B$65,0)),"")</f>
        <v>10</v>
      </c>
      <c r="I47" s="8" t="str">
        <f>IFERROR(INDEX('Referência por espécie'!$I$2:$I$65,MATCH(E47&amp;IF(F47="",""," "&amp;F47),'Referência por espécie'!$B$2:$B$65,0)),"")</f>
        <v>sim</v>
      </c>
      <c r="J47" s="6"/>
    </row>
    <row r="48" spans="1:10" x14ac:dyDescent="0.3">
      <c r="A48" s="6" t="s">
        <v>104</v>
      </c>
      <c r="B48" s="6" t="s">
        <v>31</v>
      </c>
      <c r="C48" s="6" t="s">
        <v>32</v>
      </c>
      <c r="D48" s="6">
        <v>3</v>
      </c>
      <c r="E48" s="6" t="s">
        <v>48</v>
      </c>
      <c r="F48" s="6"/>
      <c r="G48" s="6" t="s">
        <v>48</v>
      </c>
      <c r="H48" s="7">
        <f>IFERROR(INDEX('Referência por espécie'!$E$2:$E$65,MATCH(E48&amp;IF(F48="",""," "&amp;F48),'Referência por espécie'!$B$2:$B$65,0)),"")</f>
        <v>5</v>
      </c>
      <c r="I48" s="8" t="str">
        <f>IFERROR(INDEX('Referência por espécie'!$I$2:$I$65,MATCH(E48&amp;IF(F48="",""," "&amp;F48),'Referência por espécie'!$B$2:$B$65,0)),"")</f>
        <v>sim</v>
      </c>
      <c r="J48" s="6"/>
    </row>
    <row r="49" spans="1:10" x14ac:dyDescent="0.3">
      <c r="A49" s="6" t="s">
        <v>104</v>
      </c>
      <c r="B49" s="6" t="s">
        <v>31</v>
      </c>
      <c r="C49" s="6" t="s">
        <v>32</v>
      </c>
      <c r="D49" s="6">
        <v>3</v>
      </c>
      <c r="E49" s="6" t="s">
        <v>38</v>
      </c>
      <c r="F49" s="6"/>
      <c r="G49" s="6" t="s">
        <v>38</v>
      </c>
      <c r="H49" s="7">
        <f>IFERROR(INDEX('Referência por espécie'!$E$2:$E$65,MATCH(E49&amp;IF(F49="",""," "&amp;F49),'Referência por espécie'!$B$2:$B$65,0)),"")</f>
        <v>5.8333333333333339</v>
      </c>
      <c r="I49" s="8" t="str">
        <f>IFERROR(INDEX('Referência por espécie'!$I$2:$I$65,MATCH(E49&amp;IF(F49="",""," "&amp;F49),'Referência por espécie'!$B$2:$B$65,0)),"")</f>
        <v>sim</v>
      </c>
      <c r="J49" s="6"/>
    </row>
    <row r="50" spans="1:10" x14ac:dyDescent="0.3">
      <c r="A50" s="6" t="s">
        <v>104</v>
      </c>
      <c r="B50" s="6" t="s">
        <v>31</v>
      </c>
      <c r="C50" s="6" t="s">
        <v>32</v>
      </c>
      <c r="D50" s="6">
        <v>3</v>
      </c>
      <c r="E50" s="6" t="s">
        <v>44</v>
      </c>
      <c r="F50" s="6"/>
      <c r="G50" s="6" t="s">
        <v>44</v>
      </c>
      <c r="H50" s="7">
        <f>IFERROR(INDEX('Referência por espécie'!$E$2:$E$65,MATCH(E50&amp;IF(F50="",""," "&amp;F50),'Referência por espécie'!$B$2:$B$65,0)),"")</f>
        <v>5</v>
      </c>
      <c r="I50" s="8" t="str">
        <f>IFERROR(INDEX('Referência por espécie'!$I$2:$I$65,MATCH(E50&amp;IF(F50="",""," "&amp;F50),'Referência por espécie'!$B$2:$B$65,0)),"")</f>
        <v>sim</v>
      </c>
      <c r="J50" s="6"/>
    </row>
    <row r="51" spans="1:10" x14ac:dyDescent="0.3">
      <c r="A51" s="6" t="s">
        <v>104</v>
      </c>
      <c r="B51" s="6" t="s">
        <v>31</v>
      </c>
      <c r="C51" s="6" t="s">
        <v>32</v>
      </c>
      <c r="D51" s="6">
        <v>3</v>
      </c>
      <c r="E51" s="6" t="s">
        <v>106</v>
      </c>
      <c r="F51" s="6"/>
      <c r="G51" s="6" t="s">
        <v>106</v>
      </c>
      <c r="H51" s="7">
        <f>IFERROR(INDEX('Referência por espécie'!$E$2:$E$65,MATCH(E51&amp;IF(F51="",""," "&amp;F51),'Referência por espécie'!$B$2:$B$65,0)),"")</f>
        <v>0.8</v>
      </c>
      <c r="I51" s="8" t="str">
        <f>IFERROR(INDEX('Referência por espécie'!$I$2:$I$65,MATCH(E51&amp;IF(F51="",""," "&amp;F51),'Referência por espécie'!$B$2:$B$65,0)),"")</f>
        <v>não</v>
      </c>
      <c r="J51" s="6" t="s">
        <v>40</v>
      </c>
    </row>
    <row r="52" spans="1:10" x14ac:dyDescent="0.3">
      <c r="A52" s="6" t="s">
        <v>104</v>
      </c>
      <c r="B52" s="6" t="s">
        <v>31</v>
      </c>
      <c r="C52" s="6" t="s">
        <v>52</v>
      </c>
      <c r="D52" s="6">
        <v>6</v>
      </c>
      <c r="E52" s="6" t="s">
        <v>107</v>
      </c>
      <c r="F52" s="6"/>
      <c r="G52" s="6" t="s">
        <v>108</v>
      </c>
      <c r="H52" s="7">
        <f>IFERROR(INDEX('Referência por espécie'!$E$2:$E$65,MATCH(E52&amp;IF(F52="",""," "&amp;F52),'Referência por espécie'!$B$2:$B$65,0)),"")</f>
        <v>4.5</v>
      </c>
      <c r="I52" s="8" t="str">
        <f>IFERROR(INDEX('Referência por espécie'!$I$2:$I$65,MATCH(E52&amp;IF(F52="",""," "&amp;F52),'Referência por espécie'!$B$2:$B$65,0)),"")</f>
        <v>sim</v>
      </c>
      <c r="J52" s="6"/>
    </row>
    <row r="53" spans="1:10" x14ac:dyDescent="0.3">
      <c r="A53" s="6" t="s">
        <v>104</v>
      </c>
      <c r="B53" s="6" t="s">
        <v>31</v>
      </c>
      <c r="C53" s="6" t="s">
        <v>52</v>
      </c>
      <c r="D53" s="6">
        <v>6</v>
      </c>
      <c r="E53" s="6" t="s">
        <v>109</v>
      </c>
      <c r="F53" s="6"/>
      <c r="G53" s="6" t="s">
        <v>109</v>
      </c>
      <c r="H53" s="7">
        <f>IFERROR(INDEX('Referência por espécie'!$E$2:$E$65,MATCH(E53&amp;IF(F53="",""," "&amp;F53),'Referência por espécie'!$B$2:$B$65,0)),"")</f>
        <v>3.75</v>
      </c>
      <c r="I53" s="8" t="str">
        <f>IFERROR(INDEX('Referência por espécie'!$I$2:$I$65,MATCH(E53&amp;IF(F53="",""," "&amp;F53),'Referência por espécie'!$B$2:$B$65,0)),"")</f>
        <v>não</v>
      </c>
      <c r="J53" s="6"/>
    </row>
    <row r="54" spans="1:10" x14ac:dyDescent="0.3">
      <c r="A54" s="6" t="s">
        <v>104</v>
      </c>
      <c r="B54" s="6" t="s">
        <v>31</v>
      </c>
      <c r="C54" s="6" t="s">
        <v>52</v>
      </c>
      <c r="D54" s="6">
        <v>6</v>
      </c>
      <c r="E54" s="6" t="s">
        <v>110</v>
      </c>
      <c r="F54" s="6"/>
      <c r="G54" s="6" t="s">
        <v>111</v>
      </c>
      <c r="H54" s="7">
        <f>IFERROR(INDEX('Referência por espécie'!$E$2:$E$65,MATCH(E54&amp;IF(F54="",""," "&amp;F54),'Referência por espécie'!$B$2:$B$65,0)),"")</f>
        <v>7.666666666666667</v>
      </c>
      <c r="I54" s="8" t="str">
        <f>IFERROR(INDEX('Referência por espécie'!$I$2:$I$65,MATCH(E54&amp;IF(F54="",""," "&amp;F54),'Referência por espécie'!$B$2:$B$65,0)),"")</f>
        <v>sim</v>
      </c>
      <c r="J54" s="6"/>
    </row>
    <row r="55" spans="1:10" x14ac:dyDescent="0.3">
      <c r="A55" s="6" t="s">
        <v>104</v>
      </c>
      <c r="B55" s="6" t="s">
        <v>31</v>
      </c>
      <c r="C55" s="6" t="s">
        <v>52</v>
      </c>
      <c r="D55" s="6">
        <v>6</v>
      </c>
      <c r="E55" s="6" t="s">
        <v>112</v>
      </c>
      <c r="F55" s="6"/>
      <c r="G55" s="6" t="s">
        <v>112</v>
      </c>
      <c r="H55" s="7">
        <f>IFERROR(INDEX('Referência por espécie'!$E$2:$E$65,MATCH(E55&amp;IF(F55="",""," "&amp;F55),'Referência por espécie'!$B$2:$B$65,0)),"")</f>
        <v>8.6666666666666661</v>
      </c>
      <c r="I55" s="8" t="str">
        <f>IFERROR(INDEX('Referência por espécie'!$I$2:$I$65,MATCH(E55&amp;IF(F55="",""," "&amp;F55),'Referência por espécie'!$B$2:$B$65,0)),"")</f>
        <v>sim</v>
      </c>
      <c r="J55" s="6"/>
    </row>
    <row r="56" spans="1:10" x14ac:dyDescent="0.3">
      <c r="A56" s="6" t="s">
        <v>104</v>
      </c>
      <c r="B56" s="6" t="s">
        <v>31</v>
      </c>
      <c r="C56" s="6" t="s">
        <v>52</v>
      </c>
      <c r="D56" s="6">
        <v>6</v>
      </c>
      <c r="E56" s="6" t="s">
        <v>113</v>
      </c>
      <c r="F56" s="6"/>
      <c r="G56" s="6" t="s">
        <v>113</v>
      </c>
      <c r="H56" s="7">
        <f>IFERROR(INDEX('Referência por espécie'!$E$2:$E$65,MATCH(E56&amp;IF(F56="",""," "&amp;F56),'Referência por espécie'!$B$2:$B$65,0)),"")</f>
        <v>8.125</v>
      </c>
      <c r="I56" s="8" t="str">
        <f>IFERROR(INDEX('Referência por espécie'!$I$2:$I$65,MATCH(E56&amp;IF(F56="",""," "&amp;F56),'Referência por espécie'!$B$2:$B$65,0)),"")</f>
        <v>sim</v>
      </c>
      <c r="J56" s="6"/>
    </row>
    <row r="57" spans="1:10" x14ac:dyDescent="0.3">
      <c r="A57" s="6" t="s">
        <v>104</v>
      </c>
      <c r="B57" s="6" t="s">
        <v>31</v>
      </c>
      <c r="C57" s="6" t="s">
        <v>52</v>
      </c>
      <c r="D57" s="6">
        <v>6</v>
      </c>
      <c r="E57" s="6" t="s">
        <v>114</v>
      </c>
      <c r="F57" s="6"/>
      <c r="G57" s="6" t="s">
        <v>115</v>
      </c>
      <c r="H57" s="7">
        <f>IFERROR(INDEX('Referência por espécie'!$E$2:$E$65,MATCH(E57&amp;IF(F57="",""," "&amp;F57),'Referência por espécie'!$B$2:$B$65,0)),"")</f>
        <v>4.2307692307692308</v>
      </c>
      <c r="I57" s="8" t="str">
        <f>IFERROR(INDEX('Referência por espécie'!$I$2:$I$65,MATCH(E57&amp;IF(F57="",""," "&amp;F57),'Referência por espécie'!$B$2:$B$65,0)),"")</f>
        <v>sim</v>
      </c>
      <c r="J57" s="6"/>
    </row>
    <row r="58" spans="1:10" x14ac:dyDescent="0.3">
      <c r="A58" s="6" t="s">
        <v>104</v>
      </c>
      <c r="B58" s="6" t="s">
        <v>31</v>
      </c>
      <c r="C58" s="6" t="s">
        <v>52</v>
      </c>
      <c r="D58" s="6">
        <v>6</v>
      </c>
      <c r="E58" s="6" t="s">
        <v>116</v>
      </c>
      <c r="F58" s="6"/>
      <c r="G58" s="6" t="s">
        <v>116</v>
      </c>
      <c r="H58" s="7">
        <f>IFERROR(INDEX('Referência por espécie'!$E$2:$E$65,MATCH(E58&amp;IF(F58="",""," "&amp;F58),'Referência por espécie'!$B$2:$B$65,0)),"")</f>
        <v>9.5833333333333321</v>
      </c>
      <c r="I58" s="8" t="str">
        <f>IFERROR(INDEX('Referência por espécie'!$I$2:$I$65,MATCH(E58&amp;IF(F58="",""," "&amp;F58),'Referência por espécie'!$B$2:$B$65,0)),"")</f>
        <v>sim</v>
      </c>
      <c r="J58" s="6"/>
    </row>
    <row r="59" spans="1:10" x14ac:dyDescent="0.3">
      <c r="A59" s="6" t="s">
        <v>104</v>
      </c>
      <c r="B59" s="6" t="s">
        <v>31</v>
      </c>
      <c r="C59" s="6" t="s">
        <v>52</v>
      </c>
      <c r="D59" s="6">
        <v>6</v>
      </c>
      <c r="E59" s="6" t="s">
        <v>117</v>
      </c>
      <c r="F59" s="6"/>
      <c r="G59" s="6" t="s">
        <v>118</v>
      </c>
      <c r="H59" s="7">
        <f>IFERROR(INDEX('Referência por espécie'!$E$2:$E$65,MATCH(E59&amp;IF(F59="",""," "&amp;F59),'Referência por espécie'!$B$2:$B$65,0)),"")</f>
        <v>4</v>
      </c>
      <c r="I59" s="8" t="str">
        <f>IFERROR(INDEX('Referência por espécie'!$I$2:$I$65,MATCH(E59&amp;IF(F59="",""," "&amp;F59),'Referência por espécie'!$B$2:$B$65,0)),"")</f>
        <v>sim</v>
      </c>
      <c r="J59" s="6" t="s">
        <v>69</v>
      </c>
    </row>
    <row r="60" spans="1:10" x14ac:dyDescent="0.3">
      <c r="A60" s="6" t="s">
        <v>104</v>
      </c>
      <c r="B60" s="6" t="s">
        <v>31</v>
      </c>
      <c r="C60" s="6" t="s">
        <v>52</v>
      </c>
      <c r="D60" s="6">
        <v>6</v>
      </c>
      <c r="E60" s="6" t="s">
        <v>119</v>
      </c>
      <c r="F60" s="6"/>
      <c r="G60" s="6" t="s">
        <v>118</v>
      </c>
      <c r="H60" s="7">
        <f>IFERROR(INDEX('Referência por espécie'!$E$2:$E$65,MATCH(E60&amp;IF(F60="",""," "&amp;F60),'Referência por espécie'!$B$2:$B$65,0)),"")</f>
        <v>10</v>
      </c>
      <c r="I60" s="8" t="str">
        <f>IFERROR(INDEX('Referência por espécie'!$I$2:$I$65,MATCH(E60&amp;IF(F60="",""," "&amp;F60),'Referência por espécie'!$B$2:$B$65,0)),"")</f>
        <v>sim</v>
      </c>
      <c r="J60" s="6" t="s">
        <v>69</v>
      </c>
    </row>
    <row r="61" spans="1:10" x14ac:dyDescent="0.3">
      <c r="A61" s="6" t="s">
        <v>104</v>
      </c>
      <c r="B61" s="6" t="s">
        <v>31</v>
      </c>
      <c r="C61" s="6" t="s">
        <v>52</v>
      </c>
      <c r="D61" s="6">
        <v>6</v>
      </c>
      <c r="E61" s="6" t="s">
        <v>120</v>
      </c>
      <c r="F61" s="6"/>
      <c r="G61" s="6" t="s">
        <v>120</v>
      </c>
      <c r="H61" s="7">
        <f>IFERROR(INDEX('Referência por espécie'!$E$2:$E$65,MATCH(E61&amp;IF(F61="",""," "&amp;F61),'Referência por espécie'!$B$2:$B$65,0)),"")</f>
        <v>15.416666666666668</v>
      </c>
      <c r="I61" s="8" t="str">
        <f>IFERROR(INDEX('Referência por espécie'!$I$2:$I$65,MATCH(E61&amp;IF(F61="",""," "&amp;F61),'Referência por espécie'!$B$2:$B$65,0)),"")</f>
        <v>sim</v>
      </c>
      <c r="J61" s="6"/>
    </row>
    <row r="62" spans="1:10" x14ac:dyDescent="0.3">
      <c r="A62" s="6" t="s">
        <v>104</v>
      </c>
      <c r="B62" s="6" t="s">
        <v>31</v>
      </c>
      <c r="C62" s="6" t="s">
        <v>57</v>
      </c>
      <c r="D62" s="6">
        <v>3</v>
      </c>
      <c r="E62" s="6" t="s">
        <v>60</v>
      </c>
      <c r="F62" s="6"/>
      <c r="G62" s="6" t="s">
        <v>121</v>
      </c>
      <c r="H62" s="7">
        <f>IFERROR(INDEX('Referência por espécie'!$E$2:$E$65,MATCH(E62&amp;IF(F62="",""," "&amp;F62),'Referência por espécie'!$B$2:$B$65,0)),"")</f>
        <v>4.4000000000000004</v>
      </c>
      <c r="I62" s="8" t="str">
        <f>IFERROR(INDEX('Referência por espécie'!$I$2:$I$65,MATCH(E62&amp;IF(F62="",""," "&amp;F62),'Referência por espécie'!$B$2:$B$65,0)),"")</f>
        <v>sim</v>
      </c>
      <c r="J62" s="6"/>
    </row>
    <row r="63" spans="1:10" x14ac:dyDescent="0.3">
      <c r="A63" s="6" t="s">
        <v>104</v>
      </c>
      <c r="B63" s="6" t="s">
        <v>31</v>
      </c>
      <c r="C63" s="6" t="s">
        <v>57</v>
      </c>
      <c r="D63" s="6">
        <v>3</v>
      </c>
      <c r="E63" s="6" t="s">
        <v>62</v>
      </c>
      <c r="F63" s="6"/>
      <c r="G63" s="6" t="s">
        <v>62</v>
      </c>
      <c r="H63" s="7">
        <f>IFERROR(INDEX('Referência por espécie'!$E$2:$E$65,MATCH(E63&amp;IF(F63="",""," "&amp;F63),'Referência por espécie'!$B$2:$B$65,0)),"")</f>
        <v>1.75</v>
      </c>
      <c r="I63" s="8" t="str">
        <f>IFERROR(INDEX('Referência por espécie'!$I$2:$I$65,MATCH(E63&amp;IF(F63="",""," "&amp;F63),'Referência por espécie'!$B$2:$B$65,0)),"")</f>
        <v>não</v>
      </c>
      <c r="J63" s="6"/>
    </row>
    <row r="64" spans="1:10" x14ac:dyDescent="0.3">
      <c r="A64" s="6" t="s">
        <v>104</v>
      </c>
      <c r="B64" s="6" t="s">
        <v>31</v>
      </c>
      <c r="C64" s="6" t="s">
        <v>57</v>
      </c>
      <c r="D64" s="6">
        <v>3</v>
      </c>
      <c r="E64" s="6" t="s">
        <v>64</v>
      </c>
      <c r="F64" s="6"/>
      <c r="G64" s="6" t="s">
        <v>64</v>
      </c>
      <c r="H64" s="7">
        <f>IFERROR(INDEX('Referência por espécie'!$E$2:$E$65,MATCH(E64&amp;IF(F64="",""," "&amp;F64),'Referência por espécie'!$B$2:$B$65,0)),"")</f>
        <v>2</v>
      </c>
      <c r="I64" s="8" t="str">
        <f>IFERROR(INDEX('Referência por espécie'!$I$2:$I$65,MATCH(E64&amp;IF(F64="",""," "&amp;F64),'Referência por espécie'!$B$2:$B$65,0)),"")</f>
        <v>não</v>
      </c>
      <c r="J64" s="6"/>
    </row>
    <row r="65" spans="1:10" x14ac:dyDescent="0.3">
      <c r="A65" s="6" t="s">
        <v>104</v>
      </c>
      <c r="B65" s="6" t="s">
        <v>31</v>
      </c>
      <c r="C65" s="6" t="s">
        <v>57</v>
      </c>
      <c r="D65" s="6">
        <v>3</v>
      </c>
      <c r="E65" s="6" t="s">
        <v>65</v>
      </c>
      <c r="F65" s="6"/>
      <c r="G65" s="6" t="s">
        <v>122</v>
      </c>
      <c r="H65" s="7">
        <f>IFERROR(INDEX('Referência por espécie'!$E$2:$E$65,MATCH(E65&amp;IF(F65="",""," "&amp;F65),'Referência por espécie'!$B$2:$B$65,0)),"")</f>
        <v>7</v>
      </c>
      <c r="I65" s="8" t="str">
        <f>IFERROR(INDEX('Referência por espécie'!$I$2:$I$65,MATCH(E65&amp;IF(F65="",""," "&amp;F65),'Referência por espécie'!$B$2:$B$65,0)),"")</f>
        <v>sim</v>
      </c>
      <c r="J65" s="6" t="s">
        <v>69</v>
      </c>
    </row>
    <row r="66" spans="1:10" x14ac:dyDescent="0.3">
      <c r="A66" s="6" t="s">
        <v>104</v>
      </c>
      <c r="B66" s="6" t="s">
        <v>31</v>
      </c>
      <c r="C66" s="6" t="s">
        <v>57</v>
      </c>
      <c r="D66" s="6">
        <v>3</v>
      </c>
      <c r="E66" s="6" t="s">
        <v>71</v>
      </c>
      <c r="F66" s="6"/>
      <c r="G66" s="6" t="s">
        <v>122</v>
      </c>
      <c r="H66" s="7">
        <f>IFERROR(INDEX('Referência por espécie'!$E$2:$E$65,MATCH(E66&amp;IF(F66="",""," "&amp;F66),'Referência por espécie'!$B$2:$B$65,0)),"")</f>
        <v>2.75</v>
      </c>
      <c r="I66" s="8" t="str">
        <f>IFERROR(INDEX('Referência por espécie'!$I$2:$I$65,MATCH(E66&amp;IF(F66="",""," "&amp;F66),'Referência por espécie'!$B$2:$B$65,0)),"")</f>
        <v>não</v>
      </c>
      <c r="J66" s="6" t="s">
        <v>69</v>
      </c>
    </row>
    <row r="67" spans="1:10" x14ac:dyDescent="0.3">
      <c r="A67" s="6" t="s">
        <v>104</v>
      </c>
      <c r="B67" s="6" t="s">
        <v>72</v>
      </c>
      <c r="C67" s="6" t="s">
        <v>72</v>
      </c>
      <c r="D67" s="6">
        <v>12</v>
      </c>
      <c r="E67" s="6" t="s">
        <v>123</v>
      </c>
      <c r="F67" s="6"/>
      <c r="G67" s="6" t="s">
        <v>124</v>
      </c>
      <c r="H67" s="7">
        <f>IFERROR(INDEX('Referência por espécie'!$E$2:$E$65,MATCH(E67&amp;IF(F67="",""," "&amp;F67),'Referência por espécie'!$B$2:$B$65,0)),"")</f>
        <v>4.333333333333333</v>
      </c>
      <c r="I67" s="8" t="str">
        <f>IFERROR(INDEX('Referência por espécie'!$I$2:$I$65,MATCH(E67&amp;IF(F67="",""," "&amp;F67),'Referência por espécie'!$B$2:$B$65,0)),"")</f>
        <v>sim</v>
      </c>
      <c r="J67" s="6"/>
    </row>
    <row r="68" spans="1:10" x14ac:dyDescent="0.3">
      <c r="A68" s="6" t="s">
        <v>104</v>
      </c>
      <c r="B68" s="6" t="s">
        <v>72</v>
      </c>
      <c r="C68" s="6" t="s">
        <v>72</v>
      </c>
      <c r="D68" s="6">
        <v>12</v>
      </c>
      <c r="E68" s="6" t="s">
        <v>73</v>
      </c>
      <c r="F68" s="6"/>
      <c r="G68" s="6" t="s">
        <v>73</v>
      </c>
      <c r="H68" s="7">
        <f>IFERROR(INDEX('Referência por espécie'!$E$2:$E$65,MATCH(E68&amp;IF(F68="",""," "&amp;F68),'Referência por espécie'!$B$2:$B$65,0)),"")</f>
        <v>6</v>
      </c>
      <c r="I68" s="8" t="str">
        <f>IFERROR(INDEX('Referência por espécie'!$I$2:$I$65,MATCH(E68&amp;IF(F68="",""," "&amp;F68),'Referência por espécie'!$B$2:$B$65,0)),"")</f>
        <v>sim</v>
      </c>
      <c r="J68" s="6"/>
    </row>
    <row r="69" spans="1:10" x14ac:dyDescent="0.3">
      <c r="A69" s="6" t="s">
        <v>104</v>
      </c>
      <c r="B69" s="6" t="s">
        <v>72</v>
      </c>
      <c r="C69" s="6" t="s">
        <v>72</v>
      </c>
      <c r="D69" s="6">
        <v>12</v>
      </c>
      <c r="E69" s="6" t="s">
        <v>125</v>
      </c>
      <c r="F69" s="6"/>
      <c r="G69" s="6" t="s">
        <v>125</v>
      </c>
      <c r="H69" s="7">
        <f>IFERROR(INDEX('Referência por espécie'!$E$2:$E$65,MATCH(E69&amp;IF(F69="",""," "&amp;F69),'Referência por espécie'!$B$2:$B$65,0)),"")</f>
        <v>12</v>
      </c>
      <c r="I69" s="8" t="str">
        <f>IFERROR(INDEX('Referência por espécie'!$I$2:$I$65,MATCH(E69&amp;IF(F69="",""," "&amp;F69),'Referência por espécie'!$B$2:$B$65,0)),"")</f>
        <v>sim</v>
      </c>
      <c r="J69" s="6"/>
    </row>
    <row r="70" spans="1:10" x14ac:dyDescent="0.3">
      <c r="A70" s="6" t="s">
        <v>104</v>
      </c>
      <c r="B70" s="6" t="s">
        <v>72</v>
      </c>
      <c r="C70" s="6" t="s">
        <v>72</v>
      </c>
      <c r="D70" s="6">
        <v>12</v>
      </c>
      <c r="E70" s="6" t="s">
        <v>75</v>
      </c>
      <c r="F70" s="6"/>
      <c r="G70" s="6" t="s">
        <v>75</v>
      </c>
      <c r="H70" s="7">
        <f>IFERROR(INDEX('Referência por espécie'!$E$2:$E$65,MATCH(E70&amp;IF(F70="",""," "&amp;F70),'Referência por espécie'!$B$2:$B$65,0)),"")</f>
        <v>2.5</v>
      </c>
      <c r="I70" s="8" t="str">
        <f>IFERROR(INDEX('Referência por espécie'!$I$2:$I$65,MATCH(E70&amp;IF(F70="",""," "&amp;F70),'Referência por espécie'!$B$2:$B$65,0)),"")</f>
        <v>não</v>
      </c>
      <c r="J70" s="6"/>
    </row>
    <row r="71" spans="1:10" x14ac:dyDescent="0.3">
      <c r="A71" s="6" t="s">
        <v>104</v>
      </c>
      <c r="B71" s="6" t="s">
        <v>72</v>
      </c>
      <c r="C71" s="6" t="s">
        <v>72</v>
      </c>
      <c r="D71" s="6">
        <v>12</v>
      </c>
      <c r="E71" s="6" t="s">
        <v>126</v>
      </c>
      <c r="F71" s="6"/>
      <c r="G71" s="6" t="s">
        <v>126</v>
      </c>
      <c r="H71" s="7">
        <f>IFERROR(INDEX('Referência por espécie'!$E$2:$E$65,MATCH(E71&amp;IF(F71="",""," "&amp;F71),'Referência por espécie'!$B$2:$B$65,0)),"")</f>
        <v>6.5</v>
      </c>
      <c r="I71" s="8" t="str">
        <f>IFERROR(INDEX('Referência por espécie'!$I$2:$I$65,MATCH(E71&amp;IF(F71="",""," "&amp;F71),'Referência por espécie'!$B$2:$B$65,0)),"")</f>
        <v>sim</v>
      </c>
      <c r="J71" s="6"/>
    </row>
    <row r="72" spans="1:10" x14ac:dyDescent="0.3">
      <c r="A72" s="6" t="s">
        <v>104</v>
      </c>
      <c r="B72" s="6" t="s">
        <v>72</v>
      </c>
      <c r="C72" s="6" t="s">
        <v>72</v>
      </c>
      <c r="D72" s="6">
        <v>12</v>
      </c>
      <c r="E72" s="6" t="s">
        <v>82</v>
      </c>
      <c r="F72" s="6"/>
      <c r="G72" s="6" t="s">
        <v>82</v>
      </c>
      <c r="H72" s="7">
        <f>IFERROR(INDEX('Referência por espécie'!$E$2:$E$65,MATCH(E72&amp;IF(F72="",""," "&amp;F72),'Referência por espécie'!$B$2:$B$65,0)),"")</f>
        <v>5.66</v>
      </c>
      <c r="I72" s="8" t="str">
        <f>IFERROR(INDEX('Referência por espécie'!$I$2:$I$65,MATCH(E72&amp;IF(F72="",""," "&amp;F72),'Referência por espécie'!$B$2:$B$65,0)),"")</f>
        <v>sim</v>
      </c>
      <c r="J72" s="6"/>
    </row>
    <row r="73" spans="1:10" x14ac:dyDescent="0.3">
      <c r="A73" s="6" t="s">
        <v>104</v>
      </c>
      <c r="B73" s="6" t="s">
        <v>72</v>
      </c>
      <c r="C73" s="6" t="s">
        <v>72</v>
      </c>
      <c r="D73" s="6">
        <v>12</v>
      </c>
      <c r="E73" s="6" t="s">
        <v>127</v>
      </c>
      <c r="F73" s="6"/>
      <c r="G73" s="6" t="s">
        <v>127</v>
      </c>
      <c r="H73" s="7">
        <f>IFERROR(INDEX('Referência por espécie'!$E$2:$E$65,MATCH(E73&amp;IF(F73="",""," "&amp;F73),'Referência por espécie'!$B$2:$B$65,0)),"")</f>
        <v>3.5</v>
      </c>
      <c r="I73" s="8" t="str">
        <f>IFERROR(INDEX('Referência por espécie'!$I$2:$I$65,MATCH(E73&amp;IF(F73="",""," "&amp;F73),'Referência por espécie'!$B$2:$B$65,0)),"")</f>
        <v>não</v>
      </c>
      <c r="J73" s="6"/>
    </row>
    <row r="74" spans="1:10" x14ac:dyDescent="0.3">
      <c r="A74" s="6" t="s">
        <v>104</v>
      </c>
      <c r="B74" s="6" t="s">
        <v>72</v>
      </c>
      <c r="C74" s="6" t="s">
        <v>72</v>
      </c>
      <c r="D74" s="6">
        <v>12</v>
      </c>
      <c r="E74" s="6" t="s">
        <v>128</v>
      </c>
      <c r="F74" s="6"/>
      <c r="G74" s="6" t="s">
        <v>128</v>
      </c>
      <c r="H74" s="7">
        <f>IFERROR(INDEX('Referência por espécie'!$E$2:$E$65,MATCH(E74&amp;IF(F74="",""," "&amp;F74),'Referência por espécie'!$B$2:$B$65,0)),"")</f>
        <v>4.25</v>
      </c>
      <c r="I74" s="8" t="str">
        <f>IFERROR(INDEX('Referência por espécie'!$I$2:$I$65,MATCH(E74&amp;IF(F74="",""," "&amp;F74),'Referência por espécie'!$B$2:$B$65,0)),"")</f>
        <v>sim</v>
      </c>
      <c r="J74" s="6"/>
    </row>
    <row r="75" spans="1:10" x14ac:dyDescent="0.3">
      <c r="A75" s="6" t="s">
        <v>104</v>
      </c>
      <c r="B75" s="6" t="s">
        <v>72</v>
      </c>
      <c r="C75" s="6" t="s">
        <v>72</v>
      </c>
      <c r="D75" s="6">
        <v>12</v>
      </c>
      <c r="E75" s="6" t="s">
        <v>84</v>
      </c>
      <c r="F75" s="6"/>
      <c r="G75" s="6" t="s">
        <v>84</v>
      </c>
      <c r="H75" s="7">
        <f>IFERROR(INDEX('Referência por espécie'!$E$2:$E$65,MATCH(E75&amp;IF(F75="",""," "&amp;F75),'Referência por espécie'!$B$2:$B$65,0)),"")</f>
        <v>6.1538461538461542</v>
      </c>
      <c r="I75" s="8" t="str">
        <f>IFERROR(INDEX('Referência por espécie'!$I$2:$I$65,MATCH(E75&amp;IF(F75="",""," "&amp;F75),'Referência por espécie'!$B$2:$B$65,0)),"")</f>
        <v>sim</v>
      </c>
      <c r="J75" s="6"/>
    </row>
    <row r="76" spans="1:10" x14ac:dyDescent="0.3">
      <c r="A76" s="6" t="s">
        <v>104</v>
      </c>
      <c r="B76" s="6" t="s">
        <v>72</v>
      </c>
      <c r="C76" s="6" t="s">
        <v>72</v>
      </c>
      <c r="D76" s="6">
        <v>12</v>
      </c>
      <c r="E76" s="6" t="s">
        <v>81</v>
      </c>
      <c r="F76" s="6"/>
      <c r="G76" s="6" t="s">
        <v>81</v>
      </c>
      <c r="H76" s="7">
        <f>IFERROR(INDEX('Referência por espécie'!$E$2:$E$65,MATCH(E76&amp;IF(F76="",""," "&amp;F76),'Referência por espécie'!$B$2:$B$65,0)),"")</f>
        <v>6.1111111111111107</v>
      </c>
      <c r="I76" s="8" t="str">
        <f>IFERROR(INDEX('Referência por espécie'!$I$2:$I$65,MATCH(E76&amp;IF(F76="",""," "&amp;F76),'Referência por espécie'!$B$2:$B$65,0)),"")</f>
        <v>sim</v>
      </c>
      <c r="J76" s="6"/>
    </row>
    <row r="77" spans="1:10" x14ac:dyDescent="0.3">
      <c r="A77" s="6" t="s">
        <v>104</v>
      </c>
      <c r="B77" s="6" t="s">
        <v>72</v>
      </c>
      <c r="C77" s="6" t="s">
        <v>72</v>
      </c>
      <c r="D77" s="6">
        <v>12</v>
      </c>
      <c r="E77" s="6" t="s">
        <v>129</v>
      </c>
      <c r="F77" s="6"/>
      <c r="G77" s="6" t="s">
        <v>129</v>
      </c>
      <c r="H77" s="7">
        <f>IFERROR(INDEX('Referência por espécie'!$E$2:$E$65,MATCH(E77&amp;IF(F77="",""," "&amp;F77),'Referência por espécie'!$B$2:$B$65,0)),"")</f>
        <v>15.555555555555555</v>
      </c>
      <c r="I77" s="8" t="str">
        <f>IFERROR(INDEX('Referência por espécie'!$I$2:$I$65,MATCH(E77&amp;IF(F77="",""," "&amp;F77),'Referência por espécie'!$B$2:$B$65,0)),"")</f>
        <v>sim</v>
      </c>
      <c r="J77" s="6"/>
    </row>
    <row r="78" spans="1:10" x14ac:dyDescent="0.3">
      <c r="A78" s="6" t="s">
        <v>104</v>
      </c>
      <c r="B78" s="6" t="s">
        <v>72</v>
      </c>
      <c r="C78" s="6" t="s">
        <v>72</v>
      </c>
      <c r="D78" s="6">
        <v>12</v>
      </c>
      <c r="E78" s="6" t="s">
        <v>87</v>
      </c>
      <c r="F78" s="6"/>
      <c r="G78" s="6" t="s">
        <v>87</v>
      </c>
      <c r="H78" s="7">
        <f>IFERROR(INDEX('Referência por espécie'!$E$2:$E$65,MATCH(E78&amp;IF(F78="",""," "&amp;F78),'Referência por espécie'!$B$2:$B$65,0)),"")</f>
        <v>3.75</v>
      </c>
      <c r="I78" s="8" t="str">
        <f>IFERROR(INDEX('Referência por espécie'!$I$2:$I$65,MATCH(E78&amp;IF(F78="",""," "&amp;F78),'Referência por espécie'!$B$2:$B$65,0)),"")</f>
        <v>não</v>
      </c>
      <c r="J78" s="6"/>
    </row>
    <row r="79" spans="1:10" x14ac:dyDescent="0.3">
      <c r="A79" s="6" t="s">
        <v>104</v>
      </c>
      <c r="B79" s="6" t="s">
        <v>72</v>
      </c>
      <c r="C79" s="6" t="s">
        <v>72</v>
      </c>
      <c r="D79" s="6">
        <v>12</v>
      </c>
      <c r="E79" s="6" t="s">
        <v>130</v>
      </c>
      <c r="F79" s="6"/>
      <c r="G79" s="6" t="s">
        <v>130</v>
      </c>
      <c r="H79" s="7">
        <f>IFERROR(INDEX('Referência por espécie'!$E$2:$E$65,MATCH(E79&amp;IF(F79="",""," "&amp;F79),'Referência por espécie'!$B$2:$B$65,0)),"")</f>
        <v>11.944444444444445</v>
      </c>
      <c r="I79" s="8" t="str">
        <f>IFERROR(INDEX('Referência por espécie'!$I$2:$I$65,MATCH(E79&amp;IF(F79="",""," "&amp;F79),'Referência por espécie'!$B$2:$B$65,0)),"")</f>
        <v>sim</v>
      </c>
      <c r="J79" s="6"/>
    </row>
    <row r="80" spans="1:10" x14ac:dyDescent="0.3">
      <c r="A80" s="6" t="s">
        <v>104</v>
      </c>
      <c r="B80" s="6" t="s">
        <v>72</v>
      </c>
      <c r="C80" s="6" t="s">
        <v>72</v>
      </c>
      <c r="D80" s="6">
        <v>12</v>
      </c>
      <c r="E80" s="6" t="s">
        <v>131</v>
      </c>
      <c r="F80" s="6"/>
      <c r="G80" s="6" t="s">
        <v>131</v>
      </c>
      <c r="H80" s="7">
        <f>IFERROR(INDEX('Referência por espécie'!$E$2:$E$65,MATCH(E80&amp;IF(F80="",""," "&amp;F80),'Referência por espécie'!$B$2:$B$65,0)),"")</f>
        <v>30</v>
      </c>
      <c r="I80" s="8" t="str">
        <f>IFERROR(INDEX('Referência por espécie'!$I$2:$I$65,MATCH(E80&amp;IF(F80="",""," "&amp;F80),'Referência por espécie'!$B$2:$B$65,0)),"")</f>
        <v>sim</v>
      </c>
      <c r="J80" s="6"/>
    </row>
    <row r="81" spans="1:10" x14ac:dyDescent="0.3">
      <c r="A81" s="6" t="s">
        <v>104</v>
      </c>
      <c r="B81" s="6" t="s">
        <v>72</v>
      </c>
      <c r="C81" s="6" t="s">
        <v>72</v>
      </c>
      <c r="D81" s="6">
        <v>12</v>
      </c>
      <c r="E81" s="6" t="s">
        <v>132</v>
      </c>
      <c r="F81" s="6"/>
      <c r="G81" s="6" t="s">
        <v>132</v>
      </c>
      <c r="H81" s="7">
        <f>IFERROR(INDEX('Referência por espécie'!$E$2:$E$65,MATCH(E81&amp;IF(F81="",""," "&amp;F81),'Referência por espécie'!$B$2:$B$65,0)),"")</f>
        <v>12</v>
      </c>
      <c r="I81" s="8" t="str">
        <f>IFERROR(INDEX('Referência por espécie'!$I$2:$I$65,MATCH(E81&amp;IF(F81="",""," "&amp;F81),'Referência por espécie'!$B$2:$B$65,0)),"")</f>
        <v>sim</v>
      </c>
      <c r="J81" s="6"/>
    </row>
    <row r="82" spans="1:10" x14ac:dyDescent="0.3">
      <c r="A82" s="6" t="s">
        <v>104</v>
      </c>
      <c r="B82" s="6" t="s">
        <v>72</v>
      </c>
      <c r="C82" s="6" t="s">
        <v>85</v>
      </c>
      <c r="D82" s="6">
        <v>2</v>
      </c>
      <c r="E82" s="6" t="s">
        <v>86</v>
      </c>
      <c r="F82" s="6" t="s">
        <v>87</v>
      </c>
      <c r="G82" s="6" t="s">
        <v>88</v>
      </c>
      <c r="H82" s="7">
        <f>IFERROR(INDEX('Referência por espécie'!$E$2:$E$65,MATCH(E82&amp;IF(F82="",""," "&amp;F82),'Referência por espécie'!$B$2:$B$65,0)),"")</f>
        <v>2.5</v>
      </c>
      <c r="I82" s="8" t="str">
        <f>IFERROR(INDEX('Referência por espécie'!$I$2:$I$65,MATCH(E82&amp;IF(F82="",""," "&amp;F82),'Referência por espécie'!$B$2:$B$65,0)),"")</f>
        <v>não</v>
      </c>
      <c r="J82" s="6"/>
    </row>
    <row r="83" spans="1:10" x14ac:dyDescent="0.3">
      <c r="A83" s="6" t="s">
        <v>104</v>
      </c>
      <c r="B83" s="6" t="s">
        <v>72</v>
      </c>
      <c r="C83" s="6" t="s">
        <v>85</v>
      </c>
      <c r="D83" s="6">
        <v>2</v>
      </c>
      <c r="E83" s="6" t="s">
        <v>86</v>
      </c>
      <c r="F83" s="6" t="s">
        <v>89</v>
      </c>
      <c r="G83" s="6" t="s">
        <v>90</v>
      </c>
      <c r="H83" s="7">
        <f>IFERROR(INDEX('Referência por espécie'!$E$2:$E$65,MATCH(E83&amp;IF(F83="",""," "&amp;F83),'Referência por espécie'!$B$2:$B$65,0)),"")</f>
        <v>4.25</v>
      </c>
      <c r="I83" s="8" t="str">
        <f>IFERROR(INDEX('Referência por espécie'!$I$2:$I$65,MATCH(E83&amp;IF(F83="",""," "&amp;F83),'Referência por espécie'!$B$2:$B$65,0)),"")</f>
        <v>sim</v>
      </c>
      <c r="J83" s="6"/>
    </row>
    <row r="84" spans="1:10" x14ac:dyDescent="0.3">
      <c r="A84" s="6" t="s">
        <v>104</v>
      </c>
      <c r="B84" s="6" t="s">
        <v>72</v>
      </c>
      <c r="C84" s="6" t="s">
        <v>85</v>
      </c>
      <c r="D84" s="6">
        <v>2</v>
      </c>
      <c r="E84" s="6" t="s">
        <v>91</v>
      </c>
      <c r="F84" s="6" t="s">
        <v>92</v>
      </c>
      <c r="G84" s="6" t="s">
        <v>93</v>
      </c>
      <c r="H84" s="7">
        <f>IFERROR(INDEX('Referência por espécie'!$E$2:$E$65,MATCH(E84&amp;IF(F84="",""," "&amp;F84),'Referência por espécie'!$B$2:$B$65,0)),"")</f>
        <v>2.5</v>
      </c>
      <c r="I84" s="8" t="str">
        <f>IFERROR(INDEX('Referência por espécie'!$I$2:$I$65,MATCH(E84&amp;IF(F84="",""," "&amp;F84),'Referência por espécie'!$B$2:$B$65,0)),"")</f>
        <v>não</v>
      </c>
      <c r="J84" s="6"/>
    </row>
    <row r="85" spans="1:10" x14ac:dyDescent="0.3">
      <c r="A85" s="6" t="s">
        <v>104</v>
      </c>
      <c r="B85" s="6" t="s">
        <v>72</v>
      </c>
      <c r="C85" s="6" t="s">
        <v>85</v>
      </c>
      <c r="D85" s="6">
        <v>2</v>
      </c>
      <c r="E85" s="6" t="s">
        <v>91</v>
      </c>
      <c r="F85" s="6" t="s">
        <v>94</v>
      </c>
      <c r="G85" s="6" t="s">
        <v>95</v>
      </c>
      <c r="H85" s="7">
        <f>IFERROR(INDEX('Referência por espécie'!$E$2:$E$65,MATCH(E85&amp;IF(F85="",""," "&amp;F85),'Referência por espécie'!$B$2:$B$65,0)),"")</f>
        <v>8.695652173913043</v>
      </c>
      <c r="I85" s="8" t="str">
        <f>IFERROR(INDEX('Referência por espécie'!$I$2:$I$65,MATCH(E85&amp;IF(F85="",""," "&amp;F85),'Referência por espécie'!$B$2:$B$65,0)),"")</f>
        <v>sim</v>
      </c>
      <c r="J85" s="6"/>
    </row>
    <row r="86" spans="1:10" x14ac:dyDescent="0.3">
      <c r="A86" s="6" t="s">
        <v>104</v>
      </c>
      <c r="B86" s="6" t="s">
        <v>72</v>
      </c>
      <c r="C86" s="6" t="s">
        <v>85</v>
      </c>
      <c r="D86" s="6">
        <v>2</v>
      </c>
      <c r="E86" s="6" t="s">
        <v>96</v>
      </c>
      <c r="F86" s="6" t="s">
        <v>99</v>
      </c>
      <c r="G86" s="6" t="s">
        <v>99</v>
      </c>
      <c r="H86" s="7">
        <f>IFERROR(INDEX('Referência por espécie'!$E$2:$E$65,MATCH(E86&amp;IF(F86="",""," "&amp;F86),'Referência por espécie'!$B$2:$B$65,0)),"")</f>
        <v>2.5</v>
      </c>
      <c r="I86" s="8" t="str">
        <f>IFERROR(INDEX('Referência por espécie'!$I$2:$I$65,MATCH(E86&amp;IF(F86="",""," "&amp;F86),'Referência por espécie'!$B$2:$B$65,0)),"")</f>
        <v>não</v>
      </c>
      <c r="J86" s="6" t="s">
        <v>100</v>
      </c>
    </row>
    <row r="87" spans="1:10" x14ac:dyDescent="0.3">
      <c r="A87" s="6" t="s">
        <v>104</v>
      </c>
      <c r="B87" s="6" t="s">
        <v>72</v>
      </c>
      <c r="C87" s="6" t="s">
        <v>85</v>
      </c>
      <c r="D87" s="6">
        <v>2</v>
      </c>
      <c r="E87" s="6" t="s">
        <v>96</v>
      </c>
      <c r="F87" s="6" t="s">
        <v>101</v>
      </c>
      <c r="G87" s="6" t="s">
        <v>133</v>
      </c>
      <c r="H87" s="7">
        <f>IFERROR(INDEX('Referência por espécie'!$E$2:$E$65,MATCH(E87&amp;IF(F87="",""," "&amp;F87),'Referência por espécie'!$B$2:$B$65,0)),"")</f>
        <v>4.7826086956521738</v>
      </c>
      <c r="I87" s="8" t="str">
        <f>IFERROR(INDEX('Referência por espécie'!$I$2:$I$65,MATCH(E87&amp;IF(F87="",""," "&amp;F87),'Referência por espécie'!$B$2:$B$65,0)),"")</f>
        <v>sim</v>
      </c>
      <c r="J87" s="6" t="s">
        <v>134</v>
      </c>
    </row>
    <row r="89" spans="1:10" x14ac:dyDescent="0.3">
      <c r="A89" s="9" t="s">
        <v>135</v>
      </c>
    </row>
  </sheetData>
  <autoFilter ref="A1:J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2" customWidth="1"/>
    <col min="2" max="2" width="24" customWidth="1"/>
    <col min="3" max="4" width="12" customWidth="1"/>
    <col min="5" max="5" width="16" customWidth="1"/>
    <col min="6" max="7" width="13" customWidth="1"/>
    <col min="8" max="8" width="14" customWidth="1"/>
    <col min="9" max="9" width="12" customWidth="1"/>
    <col min="10" max="10" width="40" customWidth="1"/>
  </cols>
  <sheetData>
    <row r="1" spans="1:10" ht="31.95" customHeight="1" x14ac:dyDescent="0.3">
      <c r="A1" s="5" t="s">
        <v>22</v>
      </c>
      <c r="B1" s="5" t="s">
        <v>136</v>
      </c>
      <c r="C1" s="5" t="s">
        <v>137</v>
      </c>
      <c r="D1" s="5" t="s">
        <v>138</v>
      </c>
      <c r="E1" s="5" t="s">
        <v>139</v>
      </c>
      <c r="F1" s="5" t="s">
        <v>140</v>
      </c>
      <c r="G1" s="5" t="s">
        <v>141</v>
      </c>
      <c r="H1" s="5" t="s">
        <v>142</v>
      </c>
      <c r="I1" s="5" t="s">
        <v>28</v>
      </c>
      <c r="J1" s="5" t="s">
        <v>143</v>
      </c>
    </row>
    <row r="2" spans="1:10" x14ac:dyDescent="0.3">
      <c r="A2" s="10" t="s">
        <v>32</v>
      </c>
      <c r="B2" s="10" t="s">
        <v>37</v>
      </c>
      <c r="C2" s="10" t="s">
        <v>144</v>
      </c>
      <c r="D2" s="10">
        <f>COUNTIFS('Cotações CEASA'!$A$2:$A$124,B2)</f>
        <v>1</v>
      </c>
      <c r="E2" s="11">
        <f t="array" ref="E2">IF(D2=0,"",MEDIAN(IF('Cotações CEASA'!$A$2:$A$124=B2,'Cotações CEASA'!$F$2:$F$124)))</f>
        <v>6.25</v>
      </c>
      <c r="F2" s="11">
        <f>IF(D2=0,"",_xlfn.MINIFS('Cotações CEASA'!$F$2:$F$124,'Cotações CEASA'!$A$2:$A$124,B2))</f>
        <v>6.25</v>
      </c>
      <c r="G2" s="11">
        <f>IF(D2=0,"",_xlfn.MAXIFS('Cotações CEASA'!$F$2:$F$124,'Cotações CEASA'!$A$2:$A$124,B2))</f>
        <v>6.25</v>
      </c>
      <c r="H2" s="12">
        <f>IF(D2=0,"",_xlfn.MAXIFS('Cotações CEASA'!$G$2:$G$124,'Cotações CEASA'!$A$2:$A$124,B2))</f>
        <v>46310</v>
      </c>
      <c r="I2" s="10" t="str">
        <f>IF(E2="","",IF(E2&gt;'Leia-me'!$B$8,"sim","não"))</f>
        <v>sim</v>
      </c>
      <c r="J2" s="10" t="str">
        <f t="shared" ref="J2:J33" si="0">IF(D2=0,"sem cotação em 30 dias","cotado")</f>
        <v>cotado</v>
      </c>
    </row>
    <row r="3" spans="1:10" x14ac:dyDescent="0.3">
      <c r="A3" s="10" t="s">
        <v>32</v>
      </c>
      <c r="B3" s="10" t="s">
        <v>33</v>
      </c>
      <c r="C3" s="10" t="s">
        <v>144</v>
      </c>
      <c r="D3" s="10">
        <f>COUNTIFS('Cotações CEASA'!$A$2:$A$124,B3)</f>
        <v>6</v>
      </c>
      <c r="E3" s="11">
        <f t="array" ref="E3">IF(D3=0,"",MEDIAN(IF('Cotações CEASA'!$A$2:$A$124=B3,'Cotações CEASA'!$F$2:$F$124)))</f>
        <v>4.2857142857142856</v>
      </c>
      <c r="F3" s="11">
        <f>IF(D3=0,"",_xlfn.MINIFS('Cotações CEASA'!$F$2:$F$124,'Cotações CEASA'!$A$2:$A$124,B3))</f>
        <v>3.3333333333333335</v>
      </c>
      <c r="G3" s="11">
        <f>IF(D3=0,"",_xlfn.MAXIFS('Cotações CEASA'!$F$2:$F$124,'Cotações CEASA'!$A$2:$A$124,B3))</f>
        <v>5</v>
      </c>
      <c r="H3" s="12">
        <f>IF(D3=0,"",_xlfn.MAXIFS('Cotações CEASA'!$G$2:$G$124,'Cotações CEASA'!$A$2:$A$124,B3))</f>
        <v>46310</v>
      </c>
      <c r="I3" s="10" t="str">
        <f>IF(E3="","",IF(E3&gt;'Leia-me'!$B$8,"sim","não"))</f>
        <v>sim</v>
      </c>
      <c r="J3" s="10" t="str">
        <f t="shared" si="0"/>
        <v>cotado</v>
      </c>
    </row>
    <row r="4" spans="1:10" x14ac:dyDescent="0.3">
      <c r="A4" s="10" t="s">
        <v>32</v>
      </c>
      <c r="B4" s="10" t="s">
        <v>35</v>
      </c>
      <c r="C4" s="10" t="s">
        <v>145</v>
      </c>
      <c r="D4" s="10">
        <f>COUNTIFS('Cotações CEASA'!$A$2:$A$124,B4)</f>
        <v>1</v>
      </c>
      <c r="E4" s="11">
        <f t="array" ref="E4">IF(D4=0,"",MEDIAN(IF('Cotações CEASA'!$A$2:$A$124=B4,'Cotações CEASA'!$F$2:$F$124)))</f>
        <v>7.5</v>
      </c>
      <c r="F4" s="11">
        <f>IF(D4=0,"",_xlfn.MINIFS('Cotações CEASA'!$F$2:$F$124,'Cotações CEASA'!$A$2:$A$124,B4))</f>
        <v>7.5</v>
      </c>
      <c r="G4" s="11">
        <f>IF(D4=0,"",_xlfn.MAXIFS('Cotações CEASA'!$F$2:$F$124,'Cotações CEASA'!$A$2:$A$124,B4))</f>
        <v>7.5</v>
      </c>
      <c r="H4" s="12">
        <f>IF(D4=0,"",_xlfn.MAXIFS('Cotações CEASA'!$G$2:$G$124,'Cotações CEASA'!$A$2:$A$124,B4))</f>
        <v>46310</v>
      </c>
      <c r="I4" s="10" t="str">
        <f>IF(E4="","",IF(E4&gt;'Leia-me'!$B$8,"sim","não"))</f>
        <v>sim</v>
      </c>
      <c r="J4" s="10" t="str">
        <f t="shared" si="0"/>
        <v>cotado</v>
      </c>
    </row>
    <row r="5" spans="1:10" x14ac:dyDescent="0.3">
      <c r="A5" s="10" t="s">
        <v>32</v>
      </c>
      <c r="B5" s="10" t="s">
        <v>38</v>
      </c>
      <c r="C5" s="10" t="s">
        <v>144</v>
      </c>
      <c r="D5" s="10">
        <f>COUNTIFS('Cotações CEASA'!$A$2:$A$124,B5)</f>
        <v>2</v>
      </c>
      <c r="E5" s="11">
        <f t="array" ref="E5">IF(D5=0,"",MEDIAN(IF('Cotações CEASA'!$A$2:$A$124=B5,'Cotações CEASA'!$F$2:$F$124)))</f>
        <v>5.8333333333333339</v>
      </c>
      <c r="F5" s="11">
        <f>IF(D5=0,"",_xlfn.MINIFS('Cotações CEASA'!$F$2:$F$124,'Cotações CEASA'!$A$2:$A$124,B5))</f>
        <v>5</v>
      </c>
      <c r="G5" s="11">
        <f>IF(D5=0,"",_xlfn.MAXIFS('Cotações CEASA'!$F$2:$F$124,'Cotações CEASA'!$A$2:$A$124,B5))</f>
        <v>6.666666666666667</v>
      </c>
      <c r="H5" s="12">
        <f>IF(D5=0,"",_xlfn.MAXIFS('Cotações CEASA'!$G$2:$G$124,'Cotações CEASA'!$A$2:$A$124,B5))</f>
        <v>46310</v>
      </c>
      <c r="I5" s="10" t="str">
        <f>IF(E5="","",IF(E5&gt;'Leia-me'!$B$8,"sim","não"))</f>
        <v>sim</v>
      </c>
      <c r="J5" s="10" t="str">
        <f t="shared" si="0"/>
        <v>cotado</v>
      </c>
    </row>
    <row r="6" spans="1:10" x14ac:dyDescent="0.3">
      <c r="A6" s="10" t="s">
        <v>32</v>
      </c>
      <c r="B6" s="10" t="s">
        <v>41</v>
      </c>
      <c r="C6" s="10" t="s">
        <v>145</v>
      </c>
      <c r="D6" s="10">
        <f>COUNTIFS('Cotações CEASA'!$A$2:$A$124,B6)</f>
        <v>2</v>
      </c>
      <c r="E6" s="11">
        <f t="array" ref="E6">IF(D6=0,"",MEDIAN(IF('Cotações CEASA'!$A$2:$A$124=B6,'Cotações CEASA'!$F$2:$F$124)))</f>
        <v>5.9166666666666661</v>
      </c>
      <c r="F6" s="11">
        <f>IF(D6=0,"",_xlfn.MINIFS('Cotações CEASA'!$F$2:$F$124,'Cotações CEASA'!$A$2:$A$124,B6))</f>
        <v>5.833333333333333</v>
      </c>
      <c r="G6" s="11">
        <f>IF(D6=0,"",_xlfn.MAXIFS('Cotações CEASA'!$F$2:$F$124,'Cotações CEASA'!$A$2:$A$124,B6))</f>
        <v>6</v>
      </c>
      <c r="H6" s="12">
        <f>IF(D6=0,"",_xlfn.MAXIFS('Cotações CEASA'!$G$2:$G$124,'Cotações CEASA'!$A$2:$A$124,B6))</f>
        <v>46310</v>
      </c>
      <c r="I6" s="10" t="str">
        <f>IF(E6="","",IF(E6&gt;'Leia-me'!$B$8,"sim","não"))</f>
        <v>sim</v>
      </c>
      <c r="J6" s="10" t="str">
        <f t="shared" si="0"/>
        <v>cotado</v>
      </c>
    </row>
    <row r="7" spans="1:10" x14ac:dyDescent="0.3">
      <c r="A7" s="10" t="s">
        <v>32</v>
      </c>
      <c r="B7" s="10" t="s">
        <v>47</v>
      </c>
      <c r="C7" s="10" t="s">
        <v>144</v>
      </c>
      <c r="D7" s="10">
        <f>COUNTIFS('Cotações CEASA'!$A$2:$A$124,B7)</f>
        <v>1</v>
      </c>
      <c r="E7" s="11">
        <f t="array" ref="E7">IF(D7=0,"",MEDIAN(IF('Cotações CEASA'!$A$2:$A$124=B7,'Cotações CEASA'!$F$2:$F$124)))</f>
        <v>10</v>
      </c>
      <c r="F7" s="11">
        <f>IF(D7=0,"",_xlfn.MINIFS('Cotações CEASA'!$F$2:$F$124,'Cotações CEASA'!$A$2:$A$124,B7))</f>
        <v>10</v>
      </c>
      <c r="G7" s="11">
        <f>IF(D7=0,"",_xlfn.MAXIFS('Cotações CEASA'!$F$2:$F$124,'Cotações CEASA'!$A$2:$A$124,B7))</f>
        <v>10</v>
      </c>
      <c r="H7" s="12">
        <f>IF(D7=0,"",_xlfn.MAXIFS('Cotações CEASA'!$G$2:$G$124,'Cotações CEASA'!$A$2:$A$124,B7))</f>
        <v>46310</v>
      </c>
      <c r="I7" s="10" t="str">
        <f>IF(E7="","",IF(E7&gt;'Leia-me'!$B$8,"sim","não"))</f>
        <v>sim</v>
      </c>
      <c r="J7" s="10" t="str">
        <f t="shared" si="0"/>
        <v>cotado</v>
      </c>
    </row>
    <row r="8" spans="1:10" x14ac:dyDescent="0.3">
      <c r="A8" s="10" t="s">
        <v>32</v>
      </c>
      <c r="B8" s="10" t="s">
        <v>44</v>
      </c>
      <c r="C8" s="10" t="s">
        <v>144</v>
      </c>
      <c r="D8" s="10">
        <f>COUNTIFS('Cotações CEASA'!$A$2:$A$124,B8)</f>
        <v>1</v>
      </c>
      <c r="E8" s="11">
        <f t="array" ref="E8">IF(D8=0,"",MEDIAN(IF('Cotações CEASA'!$A$2:$A$124=B8,'Cotações CEASA'!$F$2:$F$124)))</f>
        <v>5</v>
      </c>
      <c r="F8" s="11">
        <f>IF(D8=0,"",_xlfn.MINIFS('Cotações CEASA'!$F$2:$F$124,'Cotações CEASA'!$A$2:$A$124,B8))</f>
        <v>5</v>
      </c>
      <c r="G8" s="11">
        <f>IF(D8=0,"",_xlfn.MAXIFS('Cotações CEASA'!$F$2:$F$124,'Cotações CEASA'!$A$2:$A$124,B8))</f>
        <v>5</v>
      </c>
      <c r="H8" s="12">
        <f>IF(D8=0,"",_xlfn.MAXIFS('Cotações CEASA'!$G$2:$G$124,'Cotações CEASA'!$A$2:$A$124,B8))</f>
        <v>46310</v>
      </c>
      <c r="I8" s="10" t="str">
        <f>IF(E8="","",IF(E8&gt;'Leia-me'!$B$8,"sim","não"))</f>
        <v>sim</v>
      </c>
      <c r="J8" s="10" t="str">
        <f t="shared" si="0"/>
        <v>cotado</v>
      </c>
    </row>
    <row r="9" spans="1:10" x14ac:dyDescent="0.3">
      <c r="A9" s="10" t="s">
        <v>32</v>
      </c>
      <c r="B9" s="10" t="s">
        <v>46</v>
      </c>
      <c r="C9" s="10" t="s">
        <v>145</v>
      </c>
      <c r="D9" s="10">
        <f>COUNTIFS('Cotações CEASA'!$A$2:$A$124,B9)</f>
        <v>3</v>
      </c>
      <c r="E9" s="11">
        <f t="array" ref="E9">IF(D9=0,"",MEDIAN(IF('Cotações CEASA'!$A$2:$A$124=B9,'Cotações CEASA'!$F$2:$F$124)))</f>
        <v>2</v>
      </c>
      <c r="F9" s="11">
        <f>IF(D9=0,"",_xlfn.MINIFS('Cotações CEASA'!$F$2:$F$124,'Cotações CEASA'!$A$2:$A$124,B9))</f>
        <v>1.6666666666666667</v>
      </c>
      <c r="G9" s="11">
        <f>IF(D9=0,"",_xlfn.MAXIFS('Cotações CEASA'!$F$2:$F$124,'Cotações CEASA'!$A$2:$A$124,B9))</f>
        <v>2.3333333333333335</v>
      </c>
      <c r="H9" s="12">
        <f>IF(D9=0,"",_xlfn.MAXIFS('Cotações CEASA'!$G$2:$G$124,'Cotações CEASA'!$A$2:$A$124,B9))</f>
        <v>46310</v>
      </c>
      <c r="I9" s="10" t="str">
        <f>IF(E9="","",IF(E9&gt;'Leia-me'!$B$8,"sim","não"))</f>
        <v>não</v>
      </c>
      <c r="J9" s="10" t="str">
        <f t="shared" si="0"/>
        <v>cotado</v>
      </c>
    </row>
    <row r="10" spans="1:10" x14ac:dyDescent="0.3">
      <c r="A10" s="10" t="s">
        <v>32</v>
      </c>
      <c r="B10" s="10" t="s">
        <v>39</v>
      </c>
      <c r="C10" s="10" t="s">
        <v>145</v>
      </c>
      <c r="D10" s="10">
        <f>COUNTIFS('Cotações CEASA'!$A$2:$A$124,B10)</f>
        <v>3</v>
      </c>
      <c r="E10" s="11">
        <f t="array" ref="E10">IF(D10=0,"",MEDIAN(IF('Cotações CEASA'!$A$2:$A$124=B10,'Cotações CEASA'!$F$2:$F$124)))</f>
        <v>1.6666666666666667</v>
      </c>
      <c r="F10" s="11">
        <f>IF(D10=0,"",_xlfn.MINIFS('Cotações CEASA'!$F$2:$F$124,'Cotações CEASA'!$A$2:$A$124,B10))</f>
        <v>1.5</v>
      </c>
      <c r="G10" s="11">
        <f>IF(D10=0,"",_xlfn.MAXIFS('Cotações CEASA'!$F$2:$F$124,'Cotações CEASA'!$A$2:$A$124,B10))</f>
        <v>3.3333333333333335</v>
      </c>
      <c r="H10" s="12">
        <f>IF(D10=0,"",_xlfn.MAXIFS('Cotações CEASA'!$G$2:$G$124,'Cotações CEASA'!$A$2:$A$124,B10))</f>
        <v>46310</v>
      </c>
      <c r="I10" s="10" t="str">
        <f>IF(E10="","",IF(E10&gt;'Leia-me'!$B$8,"sim","não"))</f>
        <v>não</v>
      </c>
      <c r="J10" s="10" t="str">
        <f t="shared" si="0"/>
        <v>cotado</v>
      </c>
    </row>
    <row r="11" spans="1:10" x14ac:dyDescent="0.3">
      <c r="A11" s="10" t="s">
        <v>32</v>
      </c>
      <c r="B11" s="10" t="s">
        <v>48</v>
      </c>
      <c r="C11" s="10" t="s">
        <v>144</v>
      </c>
      <c r="D11" s="10">
        <f>COUNTIFS('Cotações CEASA'!$A$2:$A$124,B11)</f>
        <v>1</v>
      </c>
      <c r="E11" s="11">
        <f t="array" ref="E11">IF(D11=0,"",MEDIAN(IF('Cotações CEASA'!$A$2:$A$124=B11,'Cotações CEASA'!$F$2:$F$124)))</f>
        <v>5</v>
      </c>
      <c r="F11" s="11">
        <f>IF(D11=0,"",_xlfn.MINIFS('Cotações CEASA'!$F$2:$F$124,'Cotações CEASA'!$A$2:$A$124,B11))</f>
        <v>5</v>
      </c>
      <c r="G11" s="11">
        <f>IF(D11=0,"",_xlfn.MAXIFS('Cotações CEASA'!$F$2:$F$124,'Cotações CEASA'!$A$2:$A$124,B11))</f>
        <v>5</v>
      </c>
      <c r="H11" s="12">
        <f>IF(D11=0,"",_xlfn.MAXIFS('Cotações CEASA'!$G$2:$G$124,'Cotações CEASA'!$A$2:$A$124,B11))</f>
        <v>46310</v>
      </c>
      <c r="I11" s="10" t="str">
        <f>IF(E11="","",IF(E11&gt;'Leia-me'!$B$8,"sim","não"))</f>
        <v>sim</v>
      </c>
      <c r="J11" s="10" t="str">
        <f t="shared" si="0"/>
        <v>cotado</v>
      </c>
    </row>
    <row r="12" spans="1:10" x14ac:dyDescent="0.3">
      <c r="A12" s="10" t="s">
        <v>32</v>
      </c>
      <c r="B12" s="10" t="s">
        <v>49</v>
      </c>
      <c r="C12" s="10" t="s">
        <v>145</v>
      </c>
      <c r="D12" s="10">
        <f>COUNTIFS('Cotações CEASA'!$A$2:$A$124,B12)</f>
        <v>1</v>
      </c>
      <c r="E12" s="11">
        <f t="array" ref="E12">IF(D12=0,"",MEDIAN(IF('Cotações CEASA'!$A$2:$A$124=B12,'Cotações CEASA'!$F$2:$F$124)))</f>
        <v>6.25</v>
      </c>
      <c r="F12" s="11">
        <f>IF(D12=0,"",_xlfn.MINIFS('Cotações CEASA'!$F$2:$F$124,'Cotações CEASA'!$A$2:$A$124,B12))</f>
        <v>6.25</v>
      </c>
      <c r="G12" s="11">
        <f>IF(D12=0,"",_xlfn.MAXIFS('Cotações CEASA'!$F$2:$F$124,'Cotações CEASA'!$A$2:$A$124,B12))</f>
        <v>6.25</v>
      </c>
      <c r="H12" s="12">
        <f>IF(D12=0,"",_xlfn.MAXIFS('Cotações CEASA'!$G$2:$G$124,'Cotações CEASA'!$A$2:$A$124,B12))</f>
        <v>46310</v>
      </c>
      <c r="I12" s="10" t="str">
        <f>IF(E12="","",IF(E12&gt;'Leia-me'!$B$8,"sim","não"))</f>
        <v>sim</v>
      </c>
      <c r="J12" s="10" t="str">
        <f t="shared" si="0"/>
        <v>cotado</v>
      </c>
    </row>
    <row r="13" spans="1:10" x14ac:dyDescent="0.3">
      <c r="A13" s="10" t="s">
        <v>32</v>
      </c>
      <c r="B13" s="10" t="s">
        <v>50</v>
      </c>
      <c r="C13" s="10" t="s">
        <v>145</v>
      </c>
      <c r="D13" s="10">
        <f>COUNTIFS('Cotações CEASA'!$A$2:$A$124,B13)</f>
        <v>1</v>
      </c>
      <c r="E13" s="11">
        <f t="array" ref="E13">IF(D13=0,"",MEDIAN(IF('Cotações CEASA'!$A$2:$A$124=B13,'Cotações CEASA'!$F$2:$F$124)))</f>
        <v>5</v>
      </c>
      <c r="F13" s="11">
        <f>IF(D13=0,"",_xlfn.MINIFS('Cotações CEASA'!$F$2:$F$124,'Cotações CEASA'!$A$2:$A$124,B13))</f>
        <v>5</v>
      </c>
      <c r="G13" s="11">
        <f>IF(D13=0,"",_xlfn.MAXIFS('Cotações CEASA'!$F$2:$F$124,'Cotações CEASA'!$A$2:$A$124,B13))</f>
        <v>5</v>
      </c>
      <c r="H13" s="12">
        <f>IF(D13=0,"",_xlfn.MAXIFS('Cotações CEASA'!$G$2:$G$124,'Cotações CEASA'!$A$2:$A$124,B13))</f>
        <v>46310</v>
      </c>
      <c r="I13" s="10" t="str">
        <f>IF(E13="","",IF(E13&gt;'Leia-me'!$B$8,"sim","não"))</f>
        <v>sim</v>
      </c>
      <c r="J13" s="10" t="str">
        <f t="shared" si="0"/>
        <v>cotado</v>
      </c>
    </row>
    <row r="14" spans="1:10" x14ac:dyDescent="0.3">
      <c r="A14" s="10" t="s">
        <v>32</v>
      </c>
      <c r="B14" s="10" t="s">
        <v>106</v>
      </c>
      <c r="C14" s="10" t="s">
        <v>146</v>
      </c>
      <c r="D14" s="10">
        <f>COUNTIFS('Cotações CEASA'!$A$2:$A$124,B14)</f>
        <v>5</v>
      </c>
      <c r="E14" s="11">
        <f t="array" ref="E14">IF(D14=0,"",MEDIAN(IF('Cotações CEASA'!$A$2:$A$124=B14,'Cotações CEASA'!$F$2:$F$124)))</f>
        <v>0.8</v>
      </c>
      <c r="F14" s="11">
        <f>IF(D14=0,"",_xlfn.MINIFS('Cotações CEASA'!$F$2:$F$124,'Cotações CEASA'!$A$2:$A$124,B14))</f>
        <v>0.64</v>
      </c>
      <c r="G14" s="11">
        <f>IF(D14=0,"",_xlfn.MAXIFS('Cotações CEASA'!$F$2:$F$124,'Cotações CEASA'!$A$2:$A$124,B14))</f>
        <v>1.5</v>
      </c>
      <c r="H14" s="12">
        <f>IF(D14=0,"",_xlfn.MAXIFS('Cotações CEASA'!$G$2:$G$124,'Cotações CEASA'!$A$2:$A$124,B14))</f>
        <v>46310</v>
      </c>
      <c r="I14" s="10" t="str">
        <f>IF(E14="","",IF(E14&gt;'Leia-me'!$B$8,"sim","não"))</f>
        <v>não</v>
      </c>
      <c r="J14" s="10" t="str">
        <f t="shared" si="0"/>
        <v>cotado</v>
      </c>
    </row>
    <row r="15" spans="1:10" x14ac:dyDescent="0.3">
      <c r="A15" s="10" t="s">
        <v>32</v>
      </c>
      <c r="B15" s="10" t="s">
        <v>51</v>
      </c>
      <c r="C15" s="10" t="s">
        <v>145</v>
      </c>
      <c r="D15" s="10">
        <f>COUNTIFS('Cotações CEASA'!$A$2:$A$124,B15)</f>
        <v>2</v>
      </c>
      <c r="E15" s="11">
        <f t="array" ref="E15">IF(D15=0,"",MEDIAN(IF('Cotações CEASA'!$A$2:$A$124=B15,'Cotações CEASA'!$F$2:$F$124)))</f>
        <v>7.5</v>
      </c>
      <c r="F15" s="11">
        <f>IF(D15=0,"",_xlfn.MINIFS('Cotações CEASA'!$F$2:$F$124,'Cotações CEASA'!$A$2:$A$124,B15))</f>
        <v>6.666666666666667</v>
      </c>
      <c r="G15" s="11">
        <f>IF(D15=0,"",_xlfn.MAXIFS('Cotações CEASA'!$F$2:$F$124,'Cotações CEASA'!$A$2:$A$124,B15))</f>
        <v>8.3333333333333339</v>
      </c>
      <c r="H15" s="12">
        <f>IF(D15=0,"",_xlfn.MAXIFS('Cotações CEASA'!$G$2:$G$124,'Cotações CEASA'!$A$2:$A$124,B15))</f>
        <v>46310</v>
      </c>
      <c r="I15" s="10" t="str">
        <f>IF(E15="","",IF(E15&gt;'Leia-me'!$B$8,"sim","não"))</f>
        <v>sim</v>
      </c>
      <c r="J15" s="10" t="str">
        <f t="shared" si="0"/>
        <v>cotado</v>
      </c>
    </row>
    <row r="16" spans="1:10" x14ac:dyDescent="0.3">
      <c r="A16" s="10" t="s">
        <v>52</v>
      </c>
      <c r="B16" s="10" t="s">
        <v>107</v>
      </c>
      <c r="C16" s="10" t="s">
        <v>146</v>
      </c>
      <c r="D16" s="10">
        <f>COUNTIFS('Cotações CEASA'!$A$2:$A$124,B16)</f>
        <v>1</v>
      </c>
      <c r="E16" s="11">
        <f t="array" ref="E16">IF(D16=0,"",MEDIAN(IF('Cotações CEASA'!$A$2:$A$124=B16,'Cotações CEASA'!$F$2:$F$124)))</f>
        <v>4.5</v>
      </c>
      <c r="F16" s="11">
        <f>IF(D16=0,"",_xlfn.MINIFS('Cotações CEASA'!$F$2:$F$124,'Cotações CEASA'!$A$2:$A$124,B16))</f>
        <v>4.5</v>
      </c>
      <c r="G16" s="11">
        <f>IF(D16=0,"",_xlfn.MAXIFS('Cotações CEASA'!$F$2:$F$124,'Cotações CEASA'!$A$2:$A$124,B16))</f>
        <v>4.5</v>
      </c>
      <c r="H16" s="12">
        <f>IF(D16=0,"",_xlfn.MAXIFS('Cotações CEASA'!$G$2:$G$124,'Cotações CEASA'!$A$2:$A$124,B16))</f>
        <v>46310</v>
      </c>
      <c r="I16" s="10" t="str">
        <f>IF(E16="","",IF(E16&gt;'Leia-me'!$B$8,"sim","não"))</f>
        <v>sim</v>
      </c>
      <c r="J16" s="10" t="str">
        <f t="shared" si="0"/>
        <v>cotado</v>
      </c>
    </row>
    <row r="17" spans="1:10" x14ac:dyDescent="0.3">
      <c r="A17" s="10" t="s">
        <v>52</v>
      </c>
      <c r="B17" s="10" t="s">
        <v>53</v>
      </c>
      <c r="C17" s="10" t="s">
        <v>145</v>
      </c>
      <c r="D17" s="10">
        <f>COUNTIFS('Cotações CEASA'!$A$2:$A$124,B17)</f>
        <v>4</v>
      </c>
      <c r="E17" s="11">
        <f t="array" ref="E17">IF(D17=0,"",MEDIAN(IF('Cotações CEASA'!$A$2:$A$124=B17,'Cotações CEASA'!$F$2:$F$124)))</f>
        <v>2.125</v>
      </c>
      <c r="F17" s="11">
        <f>IF(D17=0,"",_xlfn.MINIFS('Cotações CEASA'!$F$2:$F$124,'Cotações CEASA'!$A$2:$A$124,B17))</f>
        <v>1.75</v>
      </c>
      <c r="G17" s="11">
        <f>IF(D17=0,"",_xlfn.MAXIFS('Cotações CEASA'!$F$2:$F$124,'Cotações CEASA'!$A$2:$A$124,B17))</f>
        <v>3</v>
      </c>
      <c r="H17" s="12">
        <f>IF(D17=0,"",_xlfn.MAXIFS('Cotações CEASA'!$G$2:$G$124,'Cotações CEASA'!$A$2:$A$124,B17))</f>
        <v>46310</v>
      </c>
      <c r="I17" s="10" t="str">
        <f>IF(E17="","",IF(E17&gt;'Leia-me'!$B$8,"sim","não"))</f>
        <v>não</v>
      </c>
      <c r="J17" s="10" t="str">
        <f t="shared" si="0"/>
        <v>cotado</v>
      </c>
    </row>
    <row r="18" spans="1:10" x14ac:dyDescent="0.3">
      <c r="A18" s="10" t="s">
        <v>52</v>
      </c>
      <c r="B18" s="10" t="s">
        <v>109</v>
      </c>
      <c r="C18" s="10" t="s">
        <v>146</v>
      </c>
      <c r="D18" s="10">
        <f>COUNTIFS('Cotações CEASA'!$A$2:$A$124,B18)</f>
        <v>1</v>
      </c>
      <c r="E18" s="11">
        <f t="array" ref="E18">IF(D18=0,"",MEDIAN(IF('Cotações CEASA'!$A$2:$A$124=B18,'Cotações CEASA'!$F$2:$F$124)))</f>
        <v>3.75</v>
      </c>
      <c r="F18" s="11">
        <f>IF(D18=0,"",_xlfn.MINIFS('Cotações CEASA'!$F$2:$F$124,'Cotações CEASA'!$A$2:$A$124,B18))</f>
        <v>3.75</v>
      </c>
      <c r="G18" s="11">
        <f>IF(D18=0,"",_xlfn.MAXIFS('Cotações CEASA'!$F$2:$F$124,'Cotações CEASA'!$A$2:$A$124,B18))</f>
        <v>3.75</v>
      </c>
      <c r="H18" s="12">
        <f>IF(D18=0,"",_xlfn.MAXIFS('Cotações CEASA'!$G$2:$G$124,'Cotações CEASA'!$A$2:$A$124,B18))</f>
        <v>46310</v>
      </c>
      <c r="I18" s="10" t="str">
        <f>IF(E18="","",IF(E18&gt;'Leia-me'!$B$8,"sim","não"))</f>
        <v>não</v>
      </c>
      <c r="J18" s="10" t="str">
        <f t="shared" si="0"/>
        <v>cotado</v>
      </c>
    </row>
    <row r="19" spans="1:10" x14ac:dyDescent="0.3">
      <c r="A19" s="10" t="s">
        <v>52</v>
      </c>
      <c r="B19" s="10" t="s">
        <v>55</v>
      </c>
      <c r="C19" s="10" t="s">
        <v>145</v>
      </c>
      <c r="D19" s="10">
        <f>COUNTIFS('Cotações CEASA'!$A$2:$A$124,B19)</f>
        <v>1</v>
      </c>
      <c r="E19" s="11">
        <f t="array" ref="E19">IF(D19=0,"",MEDIAN(IF('Cotações CEASA'!$A$2:$A$124=B19,'Cotações CEASA'!$F$2:$F$124)))</f>
        <v>1.75</v>
      </c>
      <c r="F19" s="11">
        <f>IF(D19=0,"",_xlfn.MINIFS('Cotações CEASA'!$F$2:$F$124,'Cotações CEASA'!$A$2:$A$124,B19))</f>
        <v>1.75</v>
      </c>
      <c r="G19" s="11">
        <f>IF(D19=0,"",_xlfn.MAXIFS('Cotações CEASA'!$F$2:$F$124,'Cotações CEASA'!$A$2:$A$124,B19))</f>
        <v>1.75</v>
      </c>
      <c r="H19" s="12">
        <f>IF(D19=0,"",_xlfn.MAXIFS('Cotações CEASA'!$G$2:$G$124,'Cotações CEASA'!$A$2:$A$124,B19))</f>
        <v>46310</v>
      </c>
      <c r="I19" s="10" t="str">
        <f>IF(E19="","",IF(E19&gt;'Leia-me'!$B$8,"sim","não"))</f>
        <v>não</v>
      </c>
      <c r="J19" s="10" t="str">
        <f t="shared" si="0"/>
        <v>cotado</v>
      </c>
    </row>
    <row r="20" spans="1:10" x14ac:dyDescent="0.3">
      <c r="A20" s="10" t="s">
        <v>52</v>
      </c>
      <c r="B20" s="10" t="s">
        <v>56</v>
      </c>
      <c r="C20" s="10" t="s">
        <v>145</v>
      </c>
      <c r="D20" s="10">
        <f>COUNTIFS('Cotações CEASA'!$A$2:$A$124,B20)</f>
        <v>1</v>
      </c>
      <c r="E20" s="11">
        <f t="array" ref="E20">IF(D20=0,"",MEDIAN(IF('Cotações CEASA'!$A$2:$A$124=B20,'Cotações CEASA'!$F$2:$F$124)))</f>
        <v>12.5</v>
      </c>
      <c r="F20" s="11">
        <f>IF(D20=0,"",_xlfn.MINIFS('Cotações CEASA'!$F$2:$F$124,'Cotações CEASA'!$A$2:$A$124,B20))</f>
        <v>12.5</v>
      </c>
      <c r="G20" s="11">
        <f>IF(D20=0,"",_xlfn.MAXIFS('Cotações CEASA'!$F$2:$F$124,'Cotações CEASA'!$A$2:$A$124,B20))</f>
        <v>12.5</v>
      </c>
      <c r="H20" s="12">
        <f>IF(D20=0,"",_xlfn.MAXIFS('Cotações CEASA'!$G$2:$G$124,'Cotações CEASA'!$A$2:$A$124,B20))</f>
        <v>46310</v>
      </c>
      <c r="I20" s="10" t="str">
        <f>IF(E20="","",IF(E20&gt;'Leia-me'!$B$8,"sim","não"))</f>
        <v>sim</v>
      </c>
      <c r="J20" s="10" t="str">
        <f t="shared" si="0"/>
        <v>cotado</v>
      </c>
    </row>
    <row r="21" spans="1:10" x14ac:dyDescent="0.3">
      <c r="A21" s="10" t="s">
        <v>52</v>
      </c>
      <c r="B21" s="10" t="s">
        <v>110</v>
      </c>
      <c r="C21" s="10" t="s">
        <v>146</v>
      </c>
      <c r="D21" s="10">
        <f>COUNTIFS('Cotações CEASA'!$A$2:$A$124,B21)</f>
        <v>1</v>
      </c>
      <c r="E21" s="11">
        <f t="array" ref="E21">IF(D21=0,"",MEDIAN(IF('Cotações CEASA'!$A$2:$A$124=B21,'Cotações CEASA'!$F$2:$F$124)))</f>
        <v>7.666666666666667</v>
      </c>
      <c r="F21" s="11">
        <f>IF(D21=0,"",_xlfn.MINIFS('Cotações CEASA'!$F$2:$F$124,'Cotações CEASA'!$A$2:$A$124,B21))</f>
        <v>7.666666666666667</v>
      </c>
      <c r="G21" s="11">
        <f>IF(D21=0,"",_xlfn.MAXIFS('Cotações CEASA'!$F$2:$F$124,'Cotações CEASA'!$A$2:$A$124,B21))</f>
        <v>7.666666666666667</v>
      </c>
      <c r="H21" s="12">
        <f>IF(D21=0,"",_xlfn.MAXIFS('Cotações CEASA'!$G$2:$G$124,'Cotações CEASA'!$A$2:$A$124,B21))</f>
        <v>46310</v>
      </c>
      <c r="I21" s="10" t="str">
        <f>IF(E21="","",IF(E21&gt;'Leia-me'!$B$8,"sim","não"))</f>
        <v>sim</v>
      </c>
      <c r="J21" s="10" t="str">
        <f t="shared" si="0"/>
        <v>cotado</v>
      </c>
    </row>
    <row r="22" spans="1:10" x14ac:dyDescent="0.3">
      <c r="A22" s="10" t="s">
        <v>52</v>
      </c>
      <c r="B22" s="10" t="s">
        <v>113</v>
      </c>
      <c r="C22" s="10" t="s">
        <v>146</v>
      </c>
      <c r="D22" s="10">
        <f>COUNTIFS('Cotações CEASA'!$A$2:$A$124,B22)</f>
        <v>1</v>
      </c>
      <c r="E22" s="11">
        <f t="array" ref="E22">IF(D22=0,"",MEDIAN(IF('Cotações CEASA'!$A$2:$A$124=B22,'Cotações CEASA'!$F$2:$F$124)))</f>
        <v>8.125</v>
      </c>
      <c r="F22" s="11">
        <f>IF(D22=0,"",_xlfn.MINIFS('Cotações CEASA'!$F$2:$F$124,'Cotações CEASA'!$A$2:$A$124,B22))</f>
        <v>8.125</v>
      </c>
      <c r="G22" s="11">
        <f>IF(D22=0,"",_xlfn.MAXIFS('Cotações CEASA'!$F$2:$F$124,'Cotações CEASA'!$A$2:$A$124,B22))</f>
        <v>8.125</v>
      </c>
      <c r="H22" s="12">
        <f>IF(D22=0,"",_xlfn.MAXIFS('Cotações CEASA'!$G$2:$G$124,'Cotações CEASA'!$A$2:$A$124,B22))</f>
        <v>46309</v>
      </c>
      <c r="I22" s="10" t="str">
        <f>IF(E22="","",IF(E22&gt;'Leia-me'!$B$8,"sim","não"))</f>
        <v>sim</v>
      </c>
      <c r="J22" s="10" t="str">
        <f t="shared" si="0"/>
        <v>cotado</v>
      </c>
    </row>
    <row r="23" spans="1:10" x14ac:dyDescent="0.3">
      <c r="A23" s="10" t="s">
        <v>52</v>
      </c>
      <c r="B23" s="10" t="s">
        <v>114</v>
      </c>
      <c r="C23" s="10" t="s">
        <v>146</v>
      </c>
      <c r="D23" s="10">
        <f>COUNTIFS('Cotações CEASA'!$A$2:$A$124,B23)</f>
        <v>1</v>
      </c>
      <c r="E23" s="11">
        <f t="array" ref="E23">IF(D23=0,"",MEDIAN(IF('Cotações CEASA'!$A$2:$A$124=B23,'Cotações CEASA'!$F$2:$F$124)))</f>
        <v>4.2307692307692308</v>
      </c>
      <c r="F23" s="11">
        <f>IF(D23=0,"",_xlfn.MINIFS('Cotações CEASA'!$F$2:$F$124,'Cotações CEASA'!$A$2:$A$124,B23))</f>
        <v>4.2307692307692308</v>
      </c>
      <c r="G23" s="11">
        <f>IF(D23=0,"",_xlfn.MAXIFS('Cotações CEASA'!$F$2:$F$124,'Cotações CEASA'!$A$2:$A$124,B23))</f>
        <v>4.2307692307692308</v>
      </c>
      <c r="H23" s="12">
        <f>IF(D23=0,"",_xlfn.MAXIFS('Cotações CEASA'!$G$2:$G$124,'Cotações CEASA'!$A$2:$A$124,B23))</f>
        <v>46309</v>
      </c>
      <c r="I23" s="10" t="str">
        <f>IF(E23="","",IF(E23&gt;'Leia-me'!$B$8,"sim","não"))</f>
        <v>sim</v>
      </c>
      <c r="J23" s="10" t="str">
        <f t="shared" si="0"/>
        <v>cotado</v>
      </c>
    </row>
    <row r="24" spans="1:10" x14ac:dyDescent="0.3">
      <c r="A24" s="10" t="s">
        <v>52</v>
      </c>
      <c r="B24" s="10" t="s">
        <v>117</v>
      </c>
      <c r="C24" s="10" t="s">
        <v>146</v>
      </c>
      <c r="D24" s="10">
        <f>COUNTIFS('Cotações CEASA'!$A$2:$A$124,B24)</f>
        <v>3</v>
      </c>
      <c r="E24" s="11">
        <f t="array" ref="E24">IF(D24=0,"",MEDIAN(IF('Cotações CEASA'!$A$2:$A$124=B24,'Cotações CEASA'!$F$2:$F$124)))</f>
        <v>4</v>
      </c>
      <c r="F24" s="11">
        <f>IF(D24=0,"",_xlfn.MINIFS('Cotações CEASA'!$F$2:$F$124,'Cotações CEASA'!$A$2:$A$124,B24))</f>
        <v>3</v>
      </c>
      <c r="G24" s="11">
        <f>IF(D24=0,"",_xlfn.MAXIFS('Cotações CEASA'!$F$2:$F$124,'Cotações CEASA'!$A$2:$A$124,B24))</f>
        <v>5</v>
      </c>
      <c r="H24" s="12">
        <f>IF(D24=0,"",_xlfn.MAXIFS('Cotações CEASA'!$G$2:$G$124,'Cotações CEASA'!$A$2:$A$124,B24))</f>
        <v>46310</v>
      </c>
      <c r="I24" s="10" t="str">
        <f>IF(E24="","",IF(E24&gt;'Leia-me'!$B$8,"sim","não"))</f>
        <v>sim</v>
      </c>
      <c r="J24" s="10" t="str">
        <f t="shared" si="0"/>
        <v>cotado</v>
      </c>
    </row>
    <row r="25" spans="1:10" x14ac:dyDescent="0.3">
      <c r="A25" s="10" t="s">
        <v>52</v>
      </c>
      <c r="B25" s="10" t="s">
        <v>120</v>
      </c>
      <c r="C25" s="10" t="s">
        <v>146</v>
      </c>
      <c r="D25" s="10">
        <f>COUNTIFS('Cotações CEASA'!$A$2:$A$124,B25)</f>
        <v>2</v>
      </c>
      <c r="E25" s="11">
        <f t="array" ref="E25">IF(D25=0,"",MEDIAN(IF('Cotações CEASA'!$A$2:$A$124=B25,'Cotações CEASA'!$F$2:$F$124)))</f>
        <v>15.416666666666668</v>
      </c>
      <c r="F25" s="11">
        <f>IF(D25=0,"",_xlfn.MINIFS('Cotações CEASA'!$F$2:$F$124,'Cotações CEASA'!$A$2:$A$124,B25))</f>
        <v>10.833333333333334</v>
      </c>
      <c r="G25" s="11">
        <f>IF(D25=0,"",_xlfn.MAXIFS('Cotações CEASA'!$F$2:$F$124,'Cotações CEASA'!$A$2:$A$124,B25))</f>
        <v>20</v>
      </c>
      <c r="H25" s="12">
        <f>IF(D25=0,"",_xlfn.MAXIFS('Cotações CEASA'!$G$2:$G$124,'Cotações CEASA'!$A$2:$A$124,B25))</f>
        <v>46310</v>
      </c>
      <c r="I25" s="10" t="str">
        <f>IF(E25="","",IF(E25&gt;'Leia-me'!$B$8,"sim","não"))</f>
        <v>sim</v>
      </c>
      <c r="J25" s="10" t="str">
        <f t="shared" si="0"/>
        <v>cotado</v>
      </c>
    </row>
    <row r="26" spans="1:10" x14ac:dyDescent="0.3">
      <c r="A26" s="10" t="s">
        <v>52</v>
      </c>
      <c r="B26" s="10" t="s">
        <v>116</v>
      </c>
      <c r="C26" s="10" t="s">
        <v>146</v>
      </c>
      <c r="D26" s="10">
        <f>COUNTIFS('Cotações CEASA'!$A$2:$A$124,B26)</f>
        <v>4</v>
      </c>
      <c r="E26" s="11">
        <f t="array" ref="E26">IF(D26=0,"",MEDIAN(IF('Cotações CEASA'!$A$2:$A$124=B26,'Cotações CEASA'!$F$2:$F$124)))</f>
        <v>9.5833333333333321</v>
      </c>
      <c r="F26" s="11">
        <f>IF(D26=0,"",_xlfn.MINIFS('Cotações CEASA'!$F$2:$F$124,'Cotações CEASA'!$A$2:$A$124,B26))</f>
        <v>6.666666666666667</v>
      </c>
      <c r="G26" s="11">
        <f>IF(D26=0,"",_xlfn.MAXIFS('Cotações CEASA'!$F$2:$F$124,'Cotações CEASA'!$A$2:$A$124,B26))</f>
        <v>12.5</v>
      </c>
      <c r="H26" s="12">
        <f>IF(D26=0,"",_xlfn.MAXIFS('Cotações CEASA'!$G$2:$G$124,'Cotações CEASA'!$A$2:$A$124,B26))</f>
        <v>46310</v>
      </c>
      <c r="I26" s="10" t="str">
        <f>IF(E26="","",IF(E26&gt;'Leia-me'!$B$8,"sim","não"))</f>
        <v>sim</v>
      </c>
      <c r="J26" s="10" t="str">
        <f t="shared" si="0"/>
        <v>cotado</v>
      </c>
    </row>
    <row r="27" spans="1:10" x14ac:dyDescent="0.3">
      <c r="A27" s="10" t="s">
        <v>52</v>
      </c>
      <c r="B27" s="10" t="s">
        <v>112</v>
      </c>
      <c r="C27" s="10" t="s">
        <v>146</v>
      </c>
      <c r="D27" s="10">
        <f>COUNTIFS('Cotações CEASA'!$A$2:$A$124,B27)</f>
        <v>2</v>
      </c>
      <c r="E27" s="11">
        <f t="array" ref="E27">IF(D27=0,"",MEDIAN(IF('Cotações CEASA'!$A$2:$A$124=B27,'Cotações CEASA'!$F$2:$F$124)))</f>
        <v>8.6666666666666661</v>
      </c>
      <c r="F27" s="11">
        <f>IF(D27=0,"",_xlfn.MINIFS('Cotações CEASA'!$F$2:$F$124,'Cotações CEASA'!$A$2:$A$124,B27))</f>
        <v>7.333333333333333</v>
      </c>
      <c r="G27" s="11">
        <f>IF(D27=0,"",_xlfn.MAXIFS('Cotações CEASA'!$F$2:$F$124,'Cotações CEASA'!$A$2:$A$124,B27))</f>
        <v>10</v>
      </c>
      <c r="H27" s="12">
        <f>IF(D27=0,"",_xlfn.MAXIFS('Cotações CEASA'!$G$2:$G$124,'Cotações CEASA'!$A$2:$A$124,B27))</f>
        <v>46310</v>
      </c>
      <c r="I27" s="10" t="str">
        <f>IF(E27="","",IF(E27&gt;'Leia-me'!$B$8,"sim","não"))</f>
        <v>sim</v>
      </c>
      <c r="J27" s="10" t="str">
        <f t="shared" si="0"/>
        <v>cotado</v>
      </c>
    </row>
    <row r="28" spans="1:10" x14ac:dyDescent="0.3">
      <c r="A28" s="10" t="s">
        <v>52</v>
      </c>
      <c r="B28" s="10" t="s">
        <v>119</v>
      </c>
      <c r="C28" s="10" t="s">
        <v>146</v>
      </c>
      <c r="D28" s="10">
        <f>COUNTIFS('Cotações CEASA'!$A$2:$A$124,B28)</f>
        <v>4</v>
      </c>
      <c r="E28" s="11">
        <f t="array" ref="E28">IF(D28=0,"",MEDIAN(IF('Cotações CEASA'!$A$2:$A$124=B28,'Cotações CEASA'!$F$2:$F$124)))</f>
        <v>10</v>
      </c>
      <c r="F28" s="11">
        <f>IF(D28=0,"",_xlfn.MINIFS('Cotações CEASA'!$F$2:$F$124,'Cotações CEASA'!$A$2:$A$124,B28))</f>
        <v>9</v>
      </c>
      <c r="G28" s="11">
        <f>IF(D28=0,"",_xlfn.MAXIFS('Cotações CEASA'!$F$2:$F$124,'Cotações CEASA'!$A$2:$A$124,B28))</f>
        <v>11.5</v>
      </c>
      <c r="H28" s="12">
        <f>IF(D28=0,"",_xlfn.MAXIFS('Cotações CEASA'!$G$2:$G$124,'Cotações CEASA'!$A$2:$A$124,B28))</f>
        <v>46310</v>
      </c>
      <c r="I28" s="10" t="str">
        <f>IF(E28="","",IF(E28&gt;'Leia-me'!$B$8,"sim","não"))</f>
        <v>sim</v>
      </c>
      <c r="J28" s="10" t="str">
        <f t="shared" si="0"/>
        <v>cotado</v>
      </c>
    </row>
    <row r="29" spans="1:10" x14ac:dyDescent="0.3">
      <c r="A29" s="10" t="s">
        <v>57</v>
      </c>
      <c r="B29" s="10" t="s">
        <v>58</v>
      </c>
      <c r="C29" s="10" t="s">
        <v>145</v>
      </c>
      <c r="D29" s="10">
        <f>COUNTIFS('Cotações CEASA'!$A$2:$A$124,B29)</f>
        <v>1</v>
      </c>
      <c r="E29" s="11">
        <f t="array" ref="E29">IF(D29=0,"",MEDIAN(IF('Cotações CEASA'!$A$2:$A$124=B29,'Cotações CEASA'!$F$2:$F$124)))</f>
        <v>2.5</v>
      </c>
      <c r="F29" s="11">
        <f>IF(D29=0,"",_xlfn.MINIFS('Cotações CEASA'!$F$2:$F$124,'Cotações CEASA'!$A$2:$A$124,B29))</f>
        <v>2.5</v>
      </c>
      <c r="G29" s="11">
        <f>IF(D29=0,"",_xlfn.MAXIFS('Cotações CEASA'!$F$2:$F$124,'Cotações CEASA'!$A$2:$A$124,B29))</f>
        <v>2.5</v>
      </c>
      <c r="H29" s="12">
        <f>IF(D29=0,"",_xlfn.MAXIFS('Cotações CEASA'!$G$2:$G$124,'Cotações CEASA'!$A$2:$A$124,B29))</f>
        <v>46310</v>
      </c>
      <c r="I29" s="10" t="str">
        <f>IF(E29="","",IF(E29&gt;'Leia-me'!$B$8,"sim","não"))</f>
        <v>não</v>
      </c>
      <c r="J29" s="10" t="str">
        <f t="shared" si="0"/>
        <v>cotado</v>
      </c>
    </row>
    <row r="30" spans="1:10" x14ac:dyDescent="0.3">
      <c r="A30" s="10" t="s">
        <v>57</v>
      </c>
      <c r="B30" s="10" t="s">
        <v>60</v>
      </c>
      <c r="C30" s="10" t="s">
        <v>144</v>
      </c>
      <c r="D30" s="10">
        <f>COUNTIFS('Cotações CEASA'!$A$2:$A$124,B30)</f>
        <v>1</v>
      </c>
      <c r="E30" s="11">
        <f t="array" ref="E30">IF(D30=0,"",MEDIAN(IF('Cotações CEASA'!$A$2:$A$124=B30,'Cotações CEASA'!$F$2:$F$124)))</f>
        <v>4.4000000000000004</v>
      </c>
      <c r="F30" s="11">
        <f>IF(D30=0,"",_xlfn.MINIFS('Cotações CEASA'!$F$2:$F$124,'Cotações CEASA'!$A$2:$A$124,B30))</f>
        <v>4.4000000000000004</v>
      </c>
      <c r="G30" s="11">
        <f>IF(D30=0,"",_xlfn.MAXIFS('Cotações CEASA'!$F$2:$F$124,'Cotações CEASA'!$A$2:$A$124,B30))</f>
        <v>4.4000000000000004</v>
      </c>
      <c r="H30" s="12">
        <f>IF(D30=0,"",_xlfn.MAXIFS('Cotações CEASA'!$G$2:$G$124,'Cotações CEASA'!$A$2:$A$124,B30))</f>
        <v>46310</v>
      </c>
      <c r="I30" s="10" t="str">
        <f>IF(E30="","",IF(E30&gt;'Leia-me'!$B$8,"sim","não"))</f>
        <v>sim</v>
      </c>
      <c r="J30" s="10" t="str">
        <f t="shared" si="0"/>
        <v>cotado</v>
      </c>
    </row>
    <row r="31" spans="1:10" x14ac:dyDescent="0.3">
      <c r="A31" s="10" t="s">
        <v>57</v>
      </c>
      <c r="B31" s="10" t="s">
        <v>61</v>
      </c>
      <c r="C31" s="10" t="s">
        <v>145</v>
      </c>
      <c r="D31" s="10">
        <f>COUNTIFS('Cotações CEASA'!$A$2:$A$124,B31)</f>
        <v>1</v>
      </c>
      <c r="E31" s="11">
        <f t="array" ref="E31">IF(D31=0,"",MEDIAN(IF('Cotações CEASA'!$A$2:$A$124=B31,'Cotações CEASA'!$F$2:$F$124)))</f>
        <v>3.25</v>
      </c>
      <c r="F31" s="11">
        <f>IF(D31=0,"",_xlfn.MINIFS('Cotações CEASA'!$F$2:$F$124,'Cotações CEASA'!$A$2:$A$124,B31))</f>
        <v>3.25</v>
      </c>
      <c r="G31" s="11">
        <f>IF(D31=0,"",_xlfn.MAXIFS('Cotações CEASA'!$F$2:$F$124,'Cotações CEASA'!$A$2:$A$124,B31))</f>
        <v>3.25</v>
      </c>
      <c r="H31" s="12">
        <f>IF(D31=0,"",_xlfn.MAXIFS('Cotações CEASA'!$G$2:$G$124,'Cotações CEASA'!$A$2:$A$124,B31))</f>
        <v>46310</v>
      </c>
      <c r="I31" s="10" t="str">
        <f>IF(E31="","",IF(E31&gt;'Leia-me'!$B$8,"sim","não"))</f>
        <v>não</v>
      </c>
      <c r="J31" s="10" t="str">
        <f t="shared" si="0"/>
        <v>cotado</v>
      </c>
    </row>
    <row r="32" spans="1:10" x14ac:dyDescent="0.3">
      <c r="A32" s="10" t="s">
        <v>57</v>
      </c>
      <c r="B32" s="10" t="s">
        <v>62</v>
      </c>
      <c r="C32" s="10" t="s">
        <v>144</v>
      </c>
      <c r="D32" s="10">
        <f>COUNTIFS('Cotações CEASA'!$A$2:$A$124,B32)</f>
        <v>4</v>
      </c>
      <c r="E32" s="11">
        <f t="array" ref="E32">IF(D32=0,"",MEDIAN(IF('Cotações CEASA'!$A$2:$A$124=B32,'Cotações CEASA'!$F$2:$F$124)))</f>
        <v>1.75</v>
      </c>
      <c r="F32" s="11">
        <f>IF(D32=0,"",_xlfn.MINIFS('Cotações CEASA'!$F$2:$F$124,'Cotações CEASA'!$A$2:$A$124,B32))</f>
        <v>1.3333333333333333</v>
      </c>
      <c r="G32" s="11">
        <f>IF(D32=0,"",_xlfn.MAXIFS('Cotações CEASA'!$F$2:$F$124,'Cotações CEASA'!$A$2:$A$124,B32))</f>
        <v>2</v>
      </c>
      <c r="H32" s="12">
        <f>IF(D32=0,"",_xlfn.MAXIFS('Cotações CEASA'!$G$2:$G$124,'Cotações CEASA'!$A$2:$A$124,B32))</f>
        <v>46310</v>
      </c>
      <c r="I32" s="10" t="str">
        <f>IF(E32="","",IF(E32&gt;'Leia-me'!$B$8,"sim","não"))</f>
        <v>não</v>
      </c>
      <c r="J32" s="10" t="str">
        <f t="shared" si="0"/>
        <v>cotado</v>
      </c>
    </row>
    <row r="33" spans="1:10" x14ac:dyDescent="0.3">
      <c r="A33" s="10" t="s">
        <v>57</v>
      </c>
      <c r="B33" s="10" t="s">
        <v>63</v>
      </c>
      <c r="C33" s="10" t="s">
        <v>145</v>
      </c>
      <c r="D33" s="10">
        <f>COUNTIFS('Cotações CEASA'!$A$2:$A$124,B33)</f>
        <v>1</v>
      </c>
      <c r="E33" s="11">
        <f t="array" ref="E33">IF(D33=0,"",MEDIAN(IF('Cotações CEASA'!$A$2:$A$124=B33,'Cotações CEASA'!$F$2:$F$124)))</f>
        <v>6.5</v>
      </c>
      <c r="F33" s="11">
        <f>IF(D33=0,"",_xlfn.MINIFS('Cotações CEASA'!$F$2:$F$124,'Cotações CEASA'!$A$2:$A$124,B33))</f>
        <v>6.5</v>
      </c>
      <c r="G33" s="11">
        <f>IF(D33=0,"",_xlfn.MAXIFS('Cotações CEASA'!$F$2:$F$124,'Cotações CEASA'!$A$2:$A$124,B33))</f>
        <v>6.5</v>
      </c>
      <c r="H33" s="12">
        <f>IF(D33=0,"",_xlfn.MAXIFS('Cotações CEASA'!$G$2:$G$124,'Cotações CEASA'!$A$2:$A$124,B33))</f>
        <v>46308</v>
      </c>
      <c r="I33" s="10" t="str">
        <f>IF(E33="","",IF(E33&gt;'Leia-me'!$B$8,"sim","não"))</f>
        <v>sim</v>
      </c>
      <c r="J33" s="10" t="str">
        <f t="shared" si="0"/>
        <v>cotado</v>
      </c>
    </row>
    <row r="34" spans="1:10" x14ac:dyDescent="0.3">
      <c r="A34" s="10" t="s">
        <v>57</v>
      </c>
      <c r="B34" s="10" t="s">
        <v>65</v>
      </c>
      <c r="C34" s="10" t="s">
        <v>144</v>
      </c>
      <c r="D34" s="10">
        <f>COUNTIFS('Cotações CEASA'!$A$2:$A$124,B34)</f>
        <v>1</v>
      </c>
      <c r="E34" s="11">
        <f t="array" ref="E34">IF(D34=0,"",MEDIAN(IF('Cotações CEASA'!$A$2:$A$124=B34,'Cotações CEASA'!$F$2:$F$124)))</f>
        <v>7</v>
      </c>
      <c r="F34" s="11">
        <f>IF(D34=0,"",_xlfn.MINIFS('Cotações CEASA'!$F$2:$F$124,'Cotações CEASA'!$A$2:$A$124,B34))</f>
        <v>7</v>
      </c>
      <c r="G34" s="11">
        <f>IF(D34=0,"",_xlfn.MAXIFS('Cotações CEASA'!$F$2:$F$124,'Cotações CEASA'!$A$2:$A$124,B34))</f>
        <v>7</v>
      </c>
      <c r="H34" s="12">
        <f>IF(D34=0,"",_xlfn.MAXIFS('Cotações CEASA'!$G$2:$G$124,'Cotações CEASA'!$A$2:$A$124,B34))</f>
        <v>46310</v>
      </c>
      <c r="I34" s="10" t="str">
        <f>IF(E34="","",IF(E34&gt;'Leia-me'!$B$8,"sim","não"))</f>
        <v>sim</v>
      </c>
      <c r="J34" s="10" t="str">
        <f t="shared" ref="J34:J65" si="1">IF(D34=0,"sem cotação em 30 dias","cotado")</f>
        <v>cotado</v>
      </c>
    </row>
    <row r="35" spans="1:10" x14ac:dyDescent="0.3">
      <c r="A35" s="10" t="s">
        <v>57</v>
      </c>
      <c r="B35" s="10" t="s">
        <v>64</v>
      </c>
      <c r="C35" s="10" t="s">
        <v>144</v>
      </c>
      <c r="D35" s="10">
        <f>COUNTIFS('Cotações CEASA'!$A$2:$A$124,B35)</f>
        <v>1</v>
      </c>
      <c r="E35" s="11">
        <f t="array" ref="E35">IF(D35=0,"",MEDIAN(IF('Cotações CEASA'!$A$2:$A$124=B35,'Cotações CEASA'!$F$2:$F$124)))</f>
        <v>2</v>
      </c>
      <c r="F35" s="11">
        <f>IF(D35=0,"",_xlfn.MINIFS('Cotações CEASA'!$F$2:$F$124,'Cotações CEASA'!$A$2:$A$124,B35))</f>
        <v>2</v>
      </c>
      <c r="G35" s="11">
        <f>IF(D35=0,"",_xlfn.MAXIFS('Cotações CEASA'!$F$2:$F$124,'Cotações CEASA'!$A$2:$A$124,B35))</f>
        <v>2</v>
      </c>
      <c r="H35" s="12">
        <f>IF(D35=0,"",_xlfn.MAXIFS('Cotações CEASA'!$G$2:$G$124,'Cotações CEASA'!$A$2:$A$124,B35))</f>
        <v>46310</v>
      </c>
      <c r="I35" s="10" t="str">
        <f>IF(E35="","",IF(E35&gt;'Leia-me'!$B$8,"sim","não"))</f>
        <v>não</v>
      </c>
      <c r="J35" s="10" t="str">
        <f t="shared" si="1"/>
        <v>cotado</v>
      </c>
    </row>
    <row r="36" spans="1:10" x14ac:dyDescent="0.3">
      <c r="A36" s="10" t="s">
        <v>57</v>
      </c>
      <c r="B36" s="10" t="s">
        <v>66</v>
      </c>
      <c r="C36" s="10" t="s">
        <v>145</v>
      </c>
      <c r="D36" s="10">
        <f>COUNTIFS('Cotações CEASA'!$A$2:$A$124,B36)</f>
        <v>1</v>
      </c>
      <c r="E36" s="11">
        <f t="array" ref="E36">IF(D36=0,"",MEDIAN(IF('Cotações CEASA'!$A$2:$A$124=B36,'Cotações CEASA'!$F$2:$F$124)))</f>
        <v>4</v>
      </c>
      <c r="F36" s="11">
        <f>IF(D36=0,"",_xlfn.MINIFS('Cotações CEASA'!$F$2:$F$124,'Cotações CEASA'!$A$2:$A$124,B36))</f>
        <v>4</v>
      </c>
      <c r="G36" s="11">
        <f>IF(D36=0,"",_xlfn.MAXIFS('Cotações CEASA'!$F$2:$F$124,'Cotações CEASA'!$A$2:$A$124,B36))</f>
        <v>4</v>
      </c>
      <c r="H36" s="12">
        <f>IF(D36=0,"",_xlfn.MAXIFS('Cotações CEASA'!$G$2:$G$124,'Cotações CEASA'!$A$2:$A$124,B36))</f>
        <v>46310</v>
      </c>
      <c r="I36" s="10" t="str">
        <f>IF(E36="","",IF(E36&gt;'Leia-me'!$B$8,"sim","não"))</f>
        <v>sim</v>
      </c>
      <c r="J36" s="10" t="str">
        <f t="shared" si="1"/>
        <v>cotado</v>
      </c>
    </row>
    <row r="37" spans="1:10" x14ac:dyDescent="0.3">
      <c r="A37" s="10" t="s">
        <v>57</v>
      </c>
      <c r="B37" s="10" t="s">
        <v>70</v>
      </c>
      <c r="C37" s="10" t="s">
        <v>145</v>
      </c>
      <c r="D37" s="10">
        <f>COUNTIFS('Cotações CEASA'!$A$2:$A$124,B37)</f>
        <v>3</v>
      </c>
      <c r="E37" s="11">
        <f t="array" ref="E37">IF(D37=0,"",MEDIAN(IF('Cotações CEASA'!$A$2:$A$124=B37,'Cotações CEASA'!$F$2:$F$124)))</f>
        <v>3.0475000000000003</v>
      </c>
      <c r="F37" s="11">
        <f>IF(D37=0,"",_xlfn.MINIFS('Cotações CEASA'!$F$2:$F$124,'Cotações CEASA'!$A$2:$A$124,B37))</f>
        <v>2</v>
      </c>
      <c r="G37" s="11">
        <f>IF(D37=0,"",_xlfn.MAXIFS('Cotações CEASA'!$F$2:$F$124,'Cotações CEASA'!$A$2:$A$124,B37))</f>
        <v>3.6</v>
      </c>
      <c r="H37" s="12">
        <f>IF(D37=0,"",_xlfn.MAXIFS('Cotações CEASA'!$G$2:$G$124,'Cotações CEASA'!$A$2:$A$124,B37))</f>
        <v>46310</v>
      </c>
      <c r="I37" s="10" t="str">
        <f>IF(E37="","",IF(E37&gt;'Leia-me'!$B$8,"sim","não"))</f>
        <v>não</v>
      </c>
      <c r="J37" s="10" t="str">
        <f t="shared" si="1"/>
        <v>cotado</v>
      </c>
    </row>
    <row r="38" spans="1:10" x14ac:dyDescent="0.3">
      <c r="A38" s="10" t="s">
        <v>57</v>
      </c>
      <c r="B38" s="10" t="s">
        <v>67</v>
      </c>
      <c r="C38" s="10" t="s">
        <v>145</v>
      </c>
      <c r="D38" s="10">
        <f>COUNTIFS('Cotações CEASA'!$A$2:$A$124,B38)</f>
        <v>2</v>
      </c>
      <c r="E38" s="11">
        <f t="array" ref="E38">IF(D38=0,"",MEDIAN(IF('Cotações CEASA'!$A$2:$A$124=B38,'Cotações CEASA'!$F$2:$F$124)))</f>
        <v>2.260416666666667</v>
      </c>
      <c r="F38" s="11">
        <f>IF(D38=0,"",_xlfn.MINIFS('Cotações CEASA'!$F$2:$F$124,'Cotações CEASA'!$A$2:$A$124,B38))</f>
        <v>2.1875</v>
      </c>
      <c r="G38" s="11">
        <f>IF(D38=0,"",_xlfn.MAXIFS('Cotações CEASA'!$F$2:$F$124,'Cotações CEASA'!$A$2:$A$124,B38))</f>
        <v>2.3333333333333335</v>
      </c>
      <c r="H38" s="12">
        <f>IF(D38=0,"",_xlfn.MAXIFS('Cotações CEASA'!$G$2:$G$124,'Cotações CEASA'!$A$2:$A$124,B38))</f>
        <v>46310</v>
      </c>
      <c r="I38" s="10" t="str">
        <f>IF(E38="","",IF(E38&gt;'Leia-me'!$B$8,"sim","não"))</f>
        <v>não</v>
      </c>
      <c r="J38" s="10" t="str">
        <f t="shared" si="1"/>
        <v>cotado</v>
      </c>
    </row>
    <row r="39" spans="1:10" x14ac:dyDescent="0.3">
      <c r="A39" s="10" t="s">
        <v>57</v>
      </c>
      <c r="B39" s="10" t="s">
        <v>71</v>
      </c>
      <c r="C39" s="10" t="s">
        <v>144</v>
      </c>
      <c r="D39" s="10">
        <f>COUNTIFS('Cotações CEASA'!$A$2:$A$124,B39)</f>
        <v>2</v>
      </c>
      <c r="E39" s="11">
        <f t="array" ref="E39">IF(D39=0,"",MEDIAN(IF('Cotações CEASA'!$A$2:$A$124=B39,'Cotações CEASA'!$F$2:$F$124)))</f>
        <v>2.75</v>
      </c>
      <c r="F39" s="11">
        <f>IF(D39=0,"",_xlfn.MINIFS('Cotações CEASA'!$F$2:$F$124,'Cotações CEASA'!$A$2:$A$124,B39))</f>
        <v>2.5</v>
      </c>
      <c r="G39" s="11">
        <f>IF(D39=0,"",_xlfn.MAXIFS('Cotações CEASA'!$F$2:$F$124,'Cotações CEASA'!$A$2:$A$124,B39))</f>
        <v>3</v>
      </c>
      <c r="H39" s="12">
        <f>IF(D39=0,"",_xlfn.MAXIFS('Cotações CEASA'!$G$2:$G$124,'Cotações CEASA'!$A$2:$A$124,B39))</f>
        <v>46310</v>
      </c>
      <c r="I39" s="10" t="str">
        <f>IF(E39="","",IF(E39&gt;'Leia-me'!$B$8,"sim","não"))</f>
        <v>não</v>
      </c>
      <c r="J39" s="10" t="str">
        <f t="shared" si="1"/>
        <v>cotado</v>
      </c>
    </row>
    <row r="40" spans="1:10" x14ac:dyDescent="0.3">
      <c r="A40" s="10" t="s">
        <v>72</v>
      </c>
      <c r="B40" s="10" t="s">
        <v>73</v>
      </c>
      <c r="C40" s="10" t="s">
        <v>144</v>
      </c>
      <c r="D40" s="10">
        <f>COUNTIFS('Cotações CEASA'!$A$2:$A$124,B40)</f>
        <v>5</v>
      </c>
      <c r="E40" s="11">
        <f t="array" ref="E40">IF(D40=0,"",MEDIAN(IF('Cotações CEASA'!$A$2:$A$124=B40,'Cotações CEASA'!$F$2:$F$124)))</f>
        <v>6</v>
      </c>
      <c r="F40" s="11">
        <f>IF(D40=0,"",_xlfn.MINIFS('Cotações CEASA'!$F$2:$F$124,'Cotações CEASA'!$A$2:$A$124,B40))</f>
        <v>3.75</v>
      </c>
      <c r="G40" s="11">
        <f>IF(D40=0,"",_xlfn.MAXIFS('Cotações CEASA'!$F$2:$F$124,'Cotações CEASA'!$A$2:$A$124,B40))</f>
        <v>6</v>
      </c>
      <c r="H40" s="12">
        <f>IF(D40=0,"",_xlfn.MAXIFS('Cotações CEASA'!$G$2:$G$124,'Cotações CEASA'!$A$2:$A$124,B40))</f>
        <v>46310</v>
      </c>
      <c r="I40" s="10" t="str">
        <f>IF(E40="","",IF(E40&gt;'Leia-me'!$B$8,"sim","não"))</f>
        <v>sim</v>
      </c>
      <c r="J40" s="10" t="str">
        <f t="shared" si="1"/>
        <v>cotado</v>
      </c>
    </row>
    <row r="41" spans="1:10" x14ac:dyDescent="0.3">
      <c r="A41" s="10" t="s">
        <v>72</v>
      </c>
      <c r="B41" s="10" t="s">
        <v>123</v>
      </c>
      <c r="C41" s="10" t="s">
        <v>146</v>
      </c>
      <c r="D41" s="10">
        <f>COUNTIFS('Cotações CEASA'!$A$2:$A$124,B41)</f>
        <v>3</v>
      </c>
      <c r="E41" s="11">
        <f t="array" ref="E41">IF(D41=0,"",MEDIAN(IF('Cotações CEASA'!$A$2:$A$124=B41,'Cotações CEASA'!$F$2:$F$124)))</f>
        <v>4.333333333333333</v>
      </c>
      <c r="F41" s="11">
        <f>IF(D41=0,"",_xlfn.MINIFS('Cotações CEASA'!$F$2:$F$124,'Cotações CEASA'!$A$2:$A$124,B41))</f>
        <v>3.6111111111111112</v>
      </c>
      <c r="G41" s="11">
        <f>IF(D41=0,"",_xlfn.MAXIFS('Cotações CEASA'!$F$2:$F$124,'Cotações CEASA'!$A$2:$A$124,B41))</f>
        <v>4.4444444444444446</v>
      </c>
      <c r="H41" s="12">
        <f>IF(D41=0,"",_xlfn.MAXIFS('Cotações CEASA'!$G$2:$G$124,'Cotações CEASA'!$A$2:$A$124,B41))</f>
        <v>46310</v>
      </c>
      <c r="I41" s="10" t="str">
        <f>IF(E41="","",IF(E41&gt;'Leia-me'!$B$8,"sim","não"))</f>
        <v>sim</v>
      </c>
      <c r="J41" s="10" t="str">
        <f t="shared" si="1"/>
        <v>cotado</v>
      </c>
    </row>
    <row r="42" spans="1:10" x14ac:dyDescent="0.3">
      <c r="A42" s="10" t="s">
        <v>72</v>
      </c>
      <c r="B42" s="10" t="s">
        <v>125</v>
      </c>
      <c r="C42" s="10" t="s">
        <v>146</v>
      </c>
      <c r="D42" s="10">
        <f>COUNTIFS('Cotações CEASA'!$A$2:$A$124,B42)</f>
        <v>2</v>
      </c>
      <c r="E42" s="11">
        <f t="array" ref="E42">IF(D42=0,"",MEDIAN(IF('Cotações CEASA'!$A$2:$A$124=B42,'Cotações CEASA'!$F$2:$F$124)))</f>
        <v>12</v>
      </c>
      <c r="F42" s="11">
        <f>IF(D42=0,"",_xlfn.MINIFS('Cotações CEASA'!$F$2:$F$124,'Cotações CEASA'!$A$2:$A$124,B42))</f>
        <v>10</v>
      </c>
      <c r="G42" s="11">
        <f>IF(D42=0,"",_xlfn.MAXIFS('Cotações CEASA'!$F$2:$F$124,'Cotações CEASA'!$A$2:$A$124,B42))</f>
        <v>14</v>
      </c>
      <c r="H42" s="12">
        <f>IF(D42=0,"",_xlfn.MAXIFS('Cotações CEASA'!$G$2:$G$124,'Cotações CEASA'!$A$2:$A$124,B42))</f>
        <v>46310</v>
      </c>
      <c r="I42" s="10" t="str">
        <f>IF(E42="","",IF(E42&gt;'Leia-me'!$B$8,"sim","não"))</f>
        <v>sim</v>
      </c>
      <c r="J42" s="10" t="str">
        <f t="shared" si="1"/>
        <v>cotado</v>
      </c>
    </row>
    <row r="43" spans="1:10" x14ac:dyDescent="0.3">
      <c r="A43" s="10" t="s">
        <v>72</v>
      </c>
      <c r="B43" s="10" t="s">
        <v>75</v>
      </c>
      <c r="C43" s="10" t="s">
        <v>144</v>
      </c>
      <c r="D43" s="10">
        <f>COUNTIFS('Cotações CEASA'!$A$2:$A$124,B43)</f>
        <v>3</v>
      </c>
      <c r="E43" s="11">
        <f t="array" ref="E43">IF(D43=0,"",MEDIAN(IF('Cotações CEASA'!$A$2:$A$124=B43,'Cotações CEASA'!$F$2:$F$124)))</f>
        <v>2.5</v>
      </c>
      <c r="F43" s="11">
        <f>IF(D43=0,"",_xlfn.MINIFS('Cotações CEASA'!$F$2:$F$124,'Cotações CEASA'!$A$2:$A$124,B43))</f>
        <v>2</v>
      </c>
      <c r="G43" s="11">
        <f>IF(D43=0,"",_xlfn.MAXIFS('Cotações CEASA'!$F$2:$F$124,'Cotações CEASA'!$A$2:$A$124,B43))</f>
        <v>4</v>
      </c>
      <c r="H43" s="12">
        <f>IF(D43=0,"",_xlfn.MAXIFS('Cotações CEASA'!$G$2:$G$124,'Cotações CEASA'!$A$2:$A$124,B43))</f>
        <v>46310</v>
      </c>
      <c r="I43" s="10" t="str">
        <f>IF(E43="","",IF(E43&gt;'Leia-me'!$B$8,"sim","não"))</f>
        <v>não</v>
      </c>
      <c r="J43" s="10" t="str">
        <f t="shared" si="1"/>
        <v>cotado</v>
      </c>
    </row>
    <row r="44" spans="1:10" x14ac:dyDescent="0.3">
      <c r="A44" s="10" t="s">
        <v>72</v>
      </c>
      <c r="B44" s="10" t="s">
        <v>76</v>
      </c>
      <c r="C44" s="10" t="s">
        <v>145</v>
      </c>
      <c r="D44" s="10">
        <f>COUNTIFS('Cotações CEASA'!$A$2:$A$124,B44)</f>
        <v>1</v>
      </c>
      <c r="E44" s="11">
        <f t="array" ref="E44">IF(D44=0,"",MEDIAN(IF('Cotações CEASA'!$A$2:$A$124=B44,'Cotações CEASA'!$F$2:$F$124)))</f>
        <v>8.125</v>
      </c>
      <c r="F44" s="11">
        <f>IF(D44=0,"",_xlfn.MINIFS('Cotações CEASA'!$F$2:$F$124,'Cotações CEASA'!$A$2:$A$124,B44))</f>
        <v>8.125</v>
      </c>
      <c r="G44" s="11">
        <f>IF(D44=0,"",_xlfn.MAXIFS('Cotações CEASA'!$F$2:$F$124,'Cotações CEASA'!$A$2:$A$124,B44))</f>
        <v>8.125</v>
      </c>
      <c r="H44" s="12">
        <f>IF(D44=0,"",_xlfn.MAXIFS('Cotações CEASA'!$G$2:$G$124,'Cotações CEASA'!$A$2:$A$124,B44))</f>
        <v>46294</v>
      </c>
      <c r="I44" s="10" t="str">
        <f>IF(E44="","",IF(E44&gt;'Leia-me'!$B$8,"sim","não"))</f>
        <v>sim</v>
      </c>
      <c r="J44" s="10" t="str">
        <f t="shared" si="1"/>
        <v>cotado</v>
      </c>
    </row>
    <row r="45" spans="1:10" x14ac:dyDescent="0.3">
      <c r="A45" s="10" t="s">
        <v>72</v>
      </c>
      <c r="B45" s="10" t="s">
        <v>77</v>
      </c>
      <c r="C45" s="10" t="s">
        <v>145</v>
      </c>
      <c r="D45" s="10">
        <f>COUNTIFS('Cotações CEASA'!$A$2:$A$124,B45)</f>
        <v>1</v>
      </c>
      <c r="E45" s="11">
        <f t="array" ref="E45">IF(D45=0,"",MEDIAN(IF('Cotações CEASA'!$A$2:$A$124=B45,'Cotações CEASA'!$F$2:$F$124)))</f>
        <v>13.333333333333334</v>
      </c>
      <c r="F45" s="11">
        <f>IF(D45=0,"",_xlfn.MINIFS('Cotações CEASA'!$F$2:$F$124,'Cotações CEASA'!$A$2:$A$124,B45))</f>
        <v>13.333333333333334</v>
      </c>
      <c r="G45" s="11">
        <f>IF(D45=0,"",_xlfn.MAXIFS('Cotações CEASA'!$F$2:$F$124,'Cotações CEASA'!$A$2:$A$124,B45))</f>
        <v>13.333333333333334</v>
      </c>
      <c r="H45" s="12">
        <f>IF(D45=0,"",_xlfn.MAXIFS('Cotações CEASA'!$G$2:$G$124,'Cotações CEASA'!$A$2:$A$124,B45))</f>
        <v>46291</v>
      </c>
      <c r="I45" s="10" t="str">
        <f>IF(E45="","",IF(E45&gt;'Leia-me'!$B$8,"sim","não"))</f>
        <v>sim</v>
      </c>
      <c r="J45" s="10" t="str">
        <f t="shared" si="1"/>
        <v>cotado</v>
      </c>
    </row>
    <row r="46" spans="1:10" x14ac:dyDescent="0.3">
      <c r="A46" s="10" t="s">
        <v>72</v>
      </c>
      <c r="B46" s="10" t="s">
        <v>126</v>
      </c>
      <c r="C46" s="10" t="s">
        <v>146</v>
      </c>
      <c r="D46" s="10">
        <f>COUNTIFS('Cotações CEASA'!$A$2:$A$124,B46)</f>
        <v>1</v>
      </c>
      <c r="E46" s="11">
        <f t="array" ref="E46">IF(D46=0,"",MEDIAN(IF('Cotações CEASA'!$A$2:$A$124=B46,'Cotações CEASA'!$F$2:$F$124)))</f>
        <v>6.5</v>
      </c>
      <c r="F46" s="11">
        <f>IF(D46=0,"",_xlfn.MINIFS('Cotações CEASA'!$F$2:$F$124,'Cotações CEASA'!$A$2:$A$124,B46))</f>
        <v>6.5</v>
      </c>
      <c r="G46" s="11">
        <f>IF(D46=0,"",_xlfn.MAXIFS('Cotações CEASA'!$F$2:$F$124,'Cotações CEASA'!$A$2:$A$124,B46))</f>
        <v>6.5</v>
      </c>
      <c r="H46" s="12">
        <f>IF(D46=0,"",_xlfn.MAXIFS('Cotações CEASA'!$G$2:$G$124,'Cotações CEASA'!$A$2:$A$124,B46))</f>
        <v>46310</v>
      </c>
      <c r="I46" s="10" t="str">
        <f>IF(E46="","",IF(E46&gt;'Leia-me'!$B$8,"sim","não"))</f>
        <v>sim</v>
      </c>
      <c r="J46" s="10" t="str">
        <f t="shared" si="1"/>
        <v>cotado</v>
      </c>
    </row>
    <row r="47" spans="1:10" x14ac:dyDescent="0.3">
      <c r="A47" s="10" t="s">
        <v>72</v>
      </c>
      <c r="B47" s="10" t="s">
        <v>80</v>
      </c>
      <c r="C47" s="10" t="s">
        <v>145</v>
      </c>
      <c r="D47" s="10">
        <f>COUNTIFS('Cotações CEASA'!$A$2:$A$124,B47)</f>
        <v>1</v>
      </c>
      <c r="E47" s="11">
        <f t="array" ref="E47">IF(D47=0,"",MEDIAN(IF('Cotações CEASA'!$A$2:$A$124=B47,'Cotações CEASA'!$F$2:$F$124)))</f>
        <v>24</v>
      </c>
      <c r="F47" s="11">
        <f>IF(D47=0,"",_xlfn.MINIFS('Cotações CEASA'!$F$2:$F$124,'Cotações CEASA'!$A$2:$A$124,B47))</f>
        <v>24</v>
      </c>
      <c r="G47" s="11">
        <f>IF(D47=0,"",_xlfn.MAXIFS('Cotações CEASA'!$F$2:$F$124,'Cotações CEASA'!$A$2:$A$124,B47))</f>
        <v>24</v>
      </c>
      <c r="H47" s="12">
        <f>IF(D47=0,"",_xlfn.MAXIFS('Cotações CEASA'!$G$2:$G$124,'Cotações CEASA'!$A$2:$A$124,B47))</f>
        <v>46310</v>
      </c>
      <c r="I47" s="10" t="str">
        <f>IF(E47="","",IF(E47&gt;'Leia-me'!$B$8,"sim","não"))</f>
        <v>sim</v>
      </c>
      <c r="J47" s="10" t="str">
        <f t="shared" si="1"/>
        <v>cotado</v>
      </c>
    </row>
    <row r="48" spans="1:10" x14ac:dyDescent="0.3">
      <c r="A48" s="10" t="s">
        <v>72</v>
      </c>
      <c r="B48" s="10" t="s">
        <v>82</v>
      </c>
      <c r="C48" s="10" t="s">
        <v>144</v>
      </c>
      <c r="D48" s="10">
        <f>COUNTIFS('Cotações CEASA'!$A$2:$A$124,B48)</f>
        <v>3</v>
      </c>
      <c r="E48" s="11">
        <f t="array" ref="E48">IF(D48=0,"",MEDIAN(IF('Cotações CEASA'!$A$2:$A$124=B48,'Cotações CEASA'!$F$2:$F$124)))</f>
        <v>5.66</v>
      </c>
      <c r="F48" s="11">
        <f>IF(D48=0,"",_xlfn.MINIFS('Cotações CEASA'!$F$2:$F$124,'Cotações CEASA'!$A$2:$A$124,B48))</f>
        <v>5.333333333333333</v>
      </c>
      <c r="G48" s="11">
        <f>IF(D48=0,"",_xlfn.MAXIFS('Cotações CEASA'!$F$2:$F$124,'Cotações CEASA'!$A$2:$A$124,B48))</f>
        <v>8.75</v>
      </c>
      <c r="H48" s="12">
        <f>IF(D48=0,"",_xlfn.MAXIFS('Cotações CEASA'!$G$2:$G$124,'Cotações CEASA'!$A$2:$A$124,B48))</f>
        <v>46310</v>
      </c>
      <c r="I48" s="10" t="str">
        <f>IF(E48="","",IF(E48&gt;'Leia-me'!$B$8,"sim","não"))</f>
        <v>sim</v>
      </c>
      <c r="J48" s="10" t="str">
        <f t="shared" si="1"/>
        <v>cotado</v>
      </c>
    </row>
    <row r="49" spans="1:10" x14ac:dyDescent="0.3">
      <c r="A49" s="10" t="s">
        <v>72</v>
      </c>
      <c r="B49" s="10" t="s">
        <v>127</v>
      </c>
      <c r="C49" s="10" t="s">
        <v>146</v>
      </c>
      <c r="D49" s="10">
        <f>COUNTIFS('Cotações CEASA'!$A$2:$A$124,B49)</f>
        <v>3</v>
      </c>
      <c r="E49" s="11">
        <f t="array" ref="E49">IF(D49=0,"",MEDIAN(IF('Cotações CEASA'!$A$2:$A$124=B49,'Cotações CEASA'!$F$2:$F$124)))</f>
        <v>3.5</v>
      </c>
      <c r="F49" s="11">
        <f>IF(D49=0,"",_xlfn.MINIFS('Cotações CEASA'!$F$2:$F$124,'Cotações CEASA'!$A$2:$A$124,B49))</f>
        <v>3.25</v>
      </c>
      <c r="G49" s="11">
        <f>IF(D49=0,"",_xlfn.MAXIFS('Cotações CEASA'!$F$2:$F$124,'Cotações CEASA'!$A$2:$A$124,B49))</f>
        <v>7</v>
      </c>
      <c r="H49" s="12">
        <f>IF(D49=0,"",_xlfn.MAXIFS('Cotações CEASA'!$G$2:$G$124,'Cotações CEASA'!$A$2:$A$124,B49))</f>
        <v>46310</v>
      </c>
      <c r="I49" s="10" t="str">
        <f>IF(E49="","",IF(E49&gt;'Leia-me'!$B$8,"sim","não"))</f>
        <v>não</v>
      </c>
      <c r="J49" s="10" t="str">
        <f t="shared" si="1"/>
        <v>cotado</v>
      </c>
    </row>
    <row r="50" spans="1:10" x14ac:dyDescent="0.3">
      <c r="A50" s="10" t="s">
        <v>72</v>
      </c>
      <c r="B50" s="10" t="s">
        <v>83</v>
      </c>
      <c r="C50" s="10" t="s">
        <v>145</v>
      </c>
      <c r="D50" s="10">
        <f>COUNTIFS('Cotações CEASA'!$A$2:$A$124,B50)</f>
        <v>2</v>
      </c>
      <c r="E50" s="11">
        <f t="array" ref="E50">IF(D50=0,"",MEDIAN(IF('Cotações CEASA'!$A$2:$A$124=B50,'Cotações CEASA'!$F$2:$F$124)))</f>
        <v>21.25</v>
      </c>
      <c r="F50" s="11">
        <f>IF(D50=0,"",_xlfn.MINIFS('Cotações CEASA'!$F$2:$F$124,'Cotações CEASA'!$A$2:$A$124,B50))</f>
        <v>12.5</v>
      </c>
      <c r="G50" s="11">
        <f>IF(D50=0,"",_xlfn.MAXIFS('Cotações CEASA'!$F$2:$F$124,'Cotações CEASA'!$A$2:$A$124,B50))</f>
        <v>30</v>
      </c>
      <c r="H50" s="12">
        <f>IF(D50=0,"",_xlfn.MAXIFS('Cotações CEASA'!$G$2:$G$124,'Cotações CEASA'!$A$2:$A$124,B50))</f>
        <v>46310</v>
      </c>
      <c r="I50" s="10" t="str">
        <f>IF(E50="","",IF(E50&gt;'Leia-me'!$B$8,"sim","não"))</f>
        <v>sim</v>
      </c>
      <c r="J50" s="10" t="str">
        <f t="shared" si="1"/>
        <v>cotado</v>
      </c>
    </row>
    <row r="51" spans="1:10" x14ac:dyDescent="0.3">
      <c r="A51" s="10" t="s">
        <v>72</v>
      </c>
      <c r="B51" s="10" t="s">
        <v>81</v>
      </c>
      <c r="C51" s="10" t="s">
        <v>144</v>
      </c>
      <c r="D51" s="10">
        <f>COUNTIFS('Cotações CEASA'!$A$2:$A$124,B51)</f>
        <v>2</v>
      </c>
      <c r="E51" s="11">
        <f t="array" ref="E51">IF(D51=0,"",MEDIAN(IF('Cotações CEASA'!$A$2:$A$124=B51,'Cotações CEASA'!$F$2:$F$124)))</f>
        <v>6.1111111111111107</v>
      </c>
      <c r="F51" s="11">
        <f>IF(D51=0,"",_xlfn.MINIFS('Cotações CEASA'!$F$2:$F$124,'Cotações CEASA'!$A$2:$A$124,B51))</f>
        <v>5.5555555555555554</v>
      </c>
      <c r="G51" s="11">
        <f>IF(D51=0,"",_xlfn.MAXIFS('Cotações CEASA'!$F$2:$F$124,'Cotações CEASA'!$A$2:$A$124,B51))</f>
        <v>6.666666666666667</v>
      </c>
      <c r="H51" s="12">
        <f>IF(D51=0,"",_xlfn.MAXIFS('Cotações CEASA'!$G$2:$G$124,'Cotações CEASA'!$A$2:$A$124,B51))</f>
        <v>46310</v>
      </c>
      <c r="I51" s="10" t="str">
        <f>IF(E51="","",IF(E51&gt;'Leia-me'!$B$8,"sim","não"))</f>
        <v>sim</v>
      </c>
      <c r="J51" s="10" t="str">
        <f t="shared" si="1"/>
        <v>cotado</v>
      </c>
    </row>
    <row r="52" spans="1:10" x14ac:dyDescent="0.3">
      <c r="A52" s="10" t="s">
        <v>72</v>
      </c>
      <c r="B52" s="10" t="s">
        <v>128</v>
      </c>
      <c r="C52" s="10" t="s">
        <v>146</v>
      </c>
      <c r="D52" s="10">
        <f>COUNTIFS('Cotações CEASA'!$A$2:$A$124,B52)</f>
        <v>2</v>
      </c>
      <c r="E52" s="11">
        <f t="array" ref="E52">IF(D52=0,"",MEDIAN(IF('Cotações CEASA'!$A$2:$A$124=B52,'Cotações CEASA'!$F$2:$F$124)))</f>
        <v>4.25</v>
      </c>
      <c r="F52" s="11">
        <f>IF(D52=0,"",_xlfn.MINIFS('Cotações CEASA'!$F$2:$F$124,'Cotações CEASA'!$A$2:$A$124,B52))</f>
        <v>2.5</v>
      </c>
      <c r="G52" s="11">
        <f>IF(D52=0,"",_xlfn.MAXIFS('Cotações CEASA'!$F$2:$F$124,'Cotações CEASA'!$A$2:$A$124,B52))</f>
        <v>6</v>
      </c>
      <c r="H52" s="12">
        <f>IF(D52=0,"",_xlfn.MAXIFS('Cotações CEASA'!$G$2:$G$124,'Cotações CEASA'!$A$2:$A$124,B52))</f>
        <v>46310</v>
      </c>
      <c r="I52" s="10" t="str">
        <f>IF(E52="","",IF(E52&gt;'Leia-me'!$B$8,"sim","não"))</f>
        <v>sim</v>
      </c>
      <c r="J52" s="10" t="str">
        <f t="shared" si="1"/>
        <v>cotado</v>
      </c>
    </row>
    <row r="53" spans="1:10" x14ac:dyDescent="0.3">
      <c r="A53" s="10" t="s">
        <v>72</v>
      </c>
      <c r="B53" s="10" t="s">
        <v>84</v>
      </c>
      <c r="C53" s="10" t="s">
        <v>144</v>
      </c>
      <c r="D53" s="10">
        <f>COUNTIFS('Cotações CEASA'!$A$2:$A$124,B53)</f>
        <v>1</v>
      </c>
      <c r="E53" s="11">
        <f t="array" ref="E53">IF(D53=0,"",MEDIAN(IF('Cotações CEASA'!$A$2:$A$124=B53,'Cotações CEASA'!$F$2:$F$124)))</f>
        <v>6.1538461538461542</v>
      </c>
      <c r="F53" s="11">
        <f>IF(D53=0,"",_xlfn.MINIFS('Cotações CEASA'!$F$2:$F$124,'Cotações CEASA'!$A$2:$A$124,B53))</f>
        <v>6.1538461538461542</v>
      </c>
      <c r="G53" s="11">
        <f>IF(D53=0,"",_xlfn.MAXIFS('Cotações CEASA'!$F$2:$F$124,'Cotações CEASA'!$A$2:$A$124,B53))</f>
        <v>6.1538461538461542</v>
      </c>
      <c r="H53" s="12">
        <f>IF(D53=0,"",_xlfn.MAXIFS('Cotações CEASA'!$G$2:$G$124,'Cotações CEASA'!$A$2:$A$124,B53))</f>
        <v>46310</v>
      </c>
      <c r="I53" s="10" t="str">
        <f>IF(E53="","",IF(E53&gt;'Leia-me'!$B$8,"sim","não"))</f>
        <v>sim</v>
      </c>
      <c r="J53" s="10" t="str">
        <f t="shared" si="1"/>
        <v>cotado</v>
      </c>
    </row>
    <row r="54" spans="1:10" x14ac:dyDescent="0.3">
      <c r="A54" s="10" t="s">
        <v>72</v>
      </c>
      <c r="B54" s="10" t="s">
        <v>129</v>
      </c>
      <c r="C54" s="10" t="s">
        <v>146</v>
      </c>
      <c r="D54" s="10">
        <f>COUNTIFS('Cotações CEASA'!$A$2:$A$124,B54)</f>
        <v>1</v>
      </c>
      <c r="E54" s="11">
        <f t="array" ref="E54">IF(D54=0,"",MEDIAN(IF('Cotações CEASA'!$A$2:$A$124=B54,'Cotações CEASA'!$F$2:$F$124)))</f>
        <v>15.555555555555555</v>
      </c>
      <c r="F54" s="11">
        <f>IF(D54=0,"",_xlfn.MINIFS('Cotações CEASA'!$F$2:$F$124,'Cotações CEASA'!$A$2:$A$124,B54))</f>
        <v>15.555555555555555</v>
      </c>
      <c r="G54" s="11">
        <f>IF(D54=0,"",_xlfn.MAXIFS('Cotações CEASA'!$F$2:$F$124,'Cotações CEASA'!$A$2:$A$124,B54))</f>
        <v>15.555555555555555</v>
      </c>
      <c r="H54" s="12">
        <f>IF(D54=0,"",_xlfn.MAXIFS('Cotações CEASA'!$G$2:$G$124,'Cotações CEASA'!$A$2:$A$124,B54))</f>
        <v>46310</v>
      </c>
      <c r="I54" s="10" t="str">
        <f>IF(E54="","",IF(E54&gt;'Leia-me'!$B$8,"sim","não"))</f>
        <v>sim</v>
      </c>
      <c r="J54" s="10" t="str">
        <f t="shared" si="1"/>
        <v>cotado</v>
      </c>
    </row>
    <row r="55" spans="1:10" x14ac:dyDescent="0.3">
      <c r="A55" s="10" t="s">
        <v>72</v>
      </c>
      <c r="B55" s="10" t="s">
        <v>87</v>
      </c>
      <c r="C55" s="10" t="s">
        <v>146</v>
      </c>
      <c r="D55" s="10">
        <f>COUNTIFS('Cotações CEASA'!$A$2:$A$124,B55)</f>
        <v>1</v>
      </c>
      <c r="E55" s="11">
        <f t="array" ref="E55">IF(D55=0,"",MEDIAN(IF('Cotações CEASA'!$A$2:$A$124=B55,'Cotações CEASA'!$F$2:$F$124)))</f>
        <v>3.75</v>
      </c>
      <c r="F55" s="11">
        <f>IF(D55=0,"",_xlfn.MINIFS('Cotações CEASA'!$F$2:$F$124,'Cotações CEASA'!$A$2:$A$124,B55))</f>
        <v>3.75</v>
      </c>
      <c r="G55" s="11">
        <f>IF(D55=0,"",_xlfn.MAXIFS('Cotações CEASA'!$F$2:$F$124,'Cotações CEASA'!$A$2:$A$124,B55))</f>
        <v>3.75</v>
      </c>
      <c r="H55" s="12">
        <f>IF(D55=0,"",_xlfn.MAXIFS('Cotações CEASA'!$G$2:$G$124,'Cotações CEASA'!$A$2:$A$124,B55))</f>
        <v>46309</v>
      </c>
      <c r="I55" s="10" t="str">
        <f>IF(E55="","",IF(E55&gt;'Leia-me'!$B$8,"sim","não"))</f>
        <v>não</v>
      </c>
      <c r="J55" s="10" t="str">
        <f t="shared" si="1"/>
        <v>cotado</v>
      </c>
    </row>
    <row r="56" spans="1:10" x14ac:dyDescent="0.3">
      <c r="A56" s="10" t="s">
        <v>72</v>
      </c>
      <c r="B56" s="10" t="s">
        <v>131</v>
      </c>
      <c r="C56" s="10" t="s">
        <v>146</v>
      </c>
      <c r="D56" s="10">
        <f>COUNTIFS('Cotações CEASA'!$A$2:$A$124,B56)</f>
        <v>1</v>
      </c>
      <c r="E56" s="11">
        <f t="array" ref="E56">IF(D56=0,"",MEDIAN(IF('Cotações CEASA'!$A$2:$A$124=B56,'Cotações CEASA'!$F$2:$F$124)))</f>
        <v>30</v>
      </c>
      <c r="F56" s="11">
        <f>IF(D56=0,"",_xlfn.MINIFS('Cotações CEASA'!$F$2:$F$124,'Cotações CEASA'!$A$2:$A$124,B56))</f>
        <v>30</v>
      </c>
      <c r="G56" s="11">
        <f>IF(D56=0,"",_xlfn.MAXIFS('Cotações CEASA'!$F$2:$F$124,'Cotações CEASA'!$A$2:$A$124,B56))</f>
        <v>30</v>
      </c>
      <c r="H56" s="12">
        <f>IF(D56=0,"",_xlfn.MAXIFS('Cotações CEASA'!$G$2:$G$124,'Cotações CEASA'!$A$2:$A$124,B56))</f>
        <v>46310</v>
      </c>
      <c r="I56" s="10" t="str">
        <f>IF(E56="","",IF(E56&gt;'Leia-me'!$B$8,"sim","não"))</f>
        <v>sim</v>
      </c>
      <c r="J56" s="10" t="str">
        <f t="shared" si="1"/>
        <v>cotado</v>
      </c>
    </row>
    <row r="57" spans="1:10" x14ac:dyDescent="0.3">
      <c r="A57" s="10" t="s">
        <v>72</v>
      </c>
      <c r="B57" s="10" t="s">
        <v>130</v>
      </c>
      <c r="C57" s="10" t="s">
        <v>146</v>
      </c>
      <c r="D57" s="10">
        <f>COUNTIFS('Cotações CEASA'!$A$2:$A$124,B57)</f>
        <v>2</v>
      </c>
      <c r="E57" s="11">
        <f t="array" ref="E57">IF(D57=0,"",MEDIAN(IF('Cotações CEASA'!$A$2:$A$124=B57,'Cotações CEASA'!$F$2:$F$124)))</f>
        <v>11.944444444444445</v>
      </c>
      <c r="F57" s="11">
        <f>IF(D57=0,"",_xlfn.MINIFS('Cotações CEASA'!$F$2:$F$124,'Cotações CEASA'!$A$2:$A$124,B57))</f>
        <v>8.3333333333333339</v>
      </c>
      <c r="G57" s="11">
        <f>IF(D57=0,"",_xlfn.MAXIFS('Cotações CEASA'!$F$2:$F$124,'Cotações CEASA'!$A$2:$A$124,B57))</f>
        <v>15.555555555555555</v>
      </c>
      <c r="H57" s="12">
        <f>IF(D57=0,"",_xlfn.MAXIFS('Cotações CEASA'!$G$2:$G$124,'Cotações CEASA'!$A$2:$A$124,B57))</f>
        <v>46310</v>
      </c>
      <c r="I57" s="10" t="str">
        <f>IF(E57="","",IF(E57&gt;'Leia-me'!$B$8,"sim","não"))</f>
        <v>sim</v>
      </c>
      <c r="J57" s="10" t="str">
        <f t="shared" si="1"/>
        <v>cotado</v>
      </c>
    </row>
    <row r="58" spans="1:10" x14ac:dyDescent="0.3">
      <c r="A58" s="10" t="s">
        <v>72</v>
      </c>
      <c r="B58" s="10" t="s">
        <v>132</v>
      </c>
      <c r="C58" s="10" t="s">
        <v>146</v>
      </c>
      <c r="D58" s="10">
        <f>COUNTIFS('Cotações CEASA'!$A$2:$A$124,B58)</f>
        <v>5</v>
      </c>
      <c r="E58" s="11">
        <f t="array" ref="E58">IF(D58=0,"",MEDIAN(IF('Cotações CEASA'!$A$2:$A$124=B58,'Cotações CEASA'!$F$2:$F$124)))</f>
        <v>12</v>
      </c>
      <c r="F58" s="11">
        <f>IF(D58=0,"",_xlfn.MINIFS('Cotações CEASA'!$F$2:$F$124,'Cotações CEASA'!$A$2:$A$124,B58))</f>
        <v>10</v>
      </c>
      <c r="G58" s="11">
        <f>IF(D58=0,"",_xlfn.MAXIFS('Cotações CEASA'!$F$2:$F$124,'Cotações CEASA'!$A$2:$A$124,B58))</f>
        <v>13</v>
      </c>
      <c r="H58" s="12">
        <f>IF(D58=0,"",_xlfn.MAXIFS('Cotações CEASA'!$G$2:$G$124,'Cotações CEASA'!$A$2:$A$124,B58))</f>
        <v>46310</v>
      </c>
      <c r="I58" s="10" t="str">
        <f>IF(E58="","",IF(E58&gt;'Leia-me'!$B$8,"sim","não"))</f>
        <v>sim</v>
      </c>
      <c r="J58" s="10" t="str">
        <f t="shared" si="1"/>
        <v>cotado</v>
      </c>
    </row>
    <row r="59" spans="1:10" x14ac:dyDescent="0.3">
      <c r="A59" s="10" t="s">
        <v>85</v>
      </c>
      <c r="B59" s="10" t="s">
        <v>90</v>
      </c>
      <c r="C59" s="10" t="s">
        <v>144</v>
      </c>
      <c r="D59" s="10">
        <f>COUNTIFS('Cotações CEASA'!$A$2:$A$124,B59)</f>
        <v>1</v>
      </c>
      <c r="E59" s="11">
        <f t="array" ref="E59">IF(D59=0,"",MEDIAN(IF('Cotações CEASA'!$A$2:$A$124=B59,'Cotações CEASA'!$F$2:$F$124)))</f>
        <v>4.25</v>
      </c>
      <c r="F59" s="11">
        <f>IF(D59=0,"",_xlfn.MINIFS('Cotações CEASA'!$F$2:$F$124,'Cotações CEASA'!$A$2:$A$124,B59))</f>
        <v>4.25</v>
      </c>
      <c r="G59" s="11">
        <f>IF(D59=0,"",_xlfn.MAXIFS('Cotações CEASA'!$F$2:$F$124,'Cotações CEASA'!$A$2:$A$124,B59))</f>
        <v>4.25</v>
      </c>
      <c r="H59" s="12">
        <f>IF(D59=0,"",_xlfn.MAXIFS('Cotações CEASA'!$G$2:$G$124,'Cotações CEASA'!$A$2:$A$124,B59))</f>
        <v>46310</v>
      </c>
      <c r="I59" s="10" t="str">
        <f>IF(E59="","",IF(E59&gt;'Leia-me'!$B$8,"sim","não"))</f>
        <v>sim</v>
      </c>
      <c r="J59" s="10" t="str">
        <f t="shared" si="1"/>
        <v>cotado</v>
      </c>
    </row>
    <row r="60" spans="1:10" x14ac:dyDescent="0.3">
      <c r="A60" s="10" t="s">
        <v>85</v>
      </c>
      <c r="B60" s="10" t="s">
        <v>147</v>
      </c>
      <c r="C60" s="10" t="s">
        <v>144</v>
      </c>
      <c r="D60" s="10">
        <f>COUNTIFS('Cotações CEASA'!$A$2:$A$124,B60)</f>
        <v>2</v>
      </c>
      <c r="E60" s="11">
        <f t="array" ref="E60">IF(D60=0,"",MEDIAN(IF('Cotações CEASA'!$A$2:$A$124=B60,'Cotações CEASA'!$F$2:$F$124)))</f>
        <v>2.5</v>
      </c>
      <c r="F60" s="11">
        <f>IF(D60=0,"",_xlfn.MINIFS('Cotações CEASA'!$F$2:$F$124,'Cotações CEASA'!$A$2:$A$124,B60))</f>
        <v>2.5</v>
      </c>
      <c r="G60" s="11">
        <f>IF(D60=0,"",_xlfn.MAXIFS('Cotações CEASA'!$F$2:$F$124,'Cotações CEASA'!$A$2:$A$124,B60))</f>
        <v>2.5</v>
      </c>
      <c r="H60" s="12">
        <f>IF(D60=0,"",_xlfn.MAXIFS('Cotações CEASA'!$G$2:$G$124,'Cotações CEASA'!$A$2:$A$124,B60))</f>
        <v>46310</v>
      </c>
      <c r="I60" s="10" t="str">
        <f>IF(E60="","",IF(E60&gt;'Leia-me'!$B$8,"sim","não"))</f>
        <v>não</v>
      </c>
      <c r="J60" s="10" t="str">
        <f t="shared" si="1"/>
        <v>cotado</v>
      </c>
    </row>
    <row r="61" spans="1:10" x14ac:dyDescent="0.3">
      <c r="A61" s="10" t="s">
        <v>85</v>
      </c>
      <c r="B61" s="10" t="s">
        <v>93</v>
      </c>
      <c r="C61" s="10" t="s">
        <v>144</v>
      </c>
      <c r="D61" s="10">
        <f>COUNTIFS('Cotações CEASA'!$A$2:$A$124,B61)</f>
        <v>2</v>
      </c>
      <c r="E61" s="11">
        <f t="array" ref="E61">IF(D61=0,"",MEDIAN(IF('Cotações CEASA'!$A$2:$A$124=B61,'Cotações CEASA'!$F$2:$F$124)))</f>
        <v>2.5</v>
      </c>
      <c r="F61" s="11">
        <f>IF(D61=0,"",_xlfn.MINIFS('Cotações CEASA'!$F$2:$F$124,'Cotações CEASA'!$A$2:$A$124,B61))</f>
        <v>2.5</v>
      </c>
      <c r="G61" s="11">
        <f>IF(D61=0,"",_xlfn.MAXIFS('Cotações CEASA'!$F$2:$F$124,'Cotações CEASA'!$A$2:$A$124,B61))</f>
        <v>2.5</v>
      </c>
      <c r="H61" s="12">
        <f>IF(D61=0,"",_xlfn.MAXIFS('Cotações CEASA'!$G$2:$G$124,'Cotações CEASA'!$A$2:$A$124,B61))</f>
        <v>46310</v>
      </c>
      <c r="I61" s="10" t="str">
        <f>IF(E61="","",IF(E61&gt;'Leia-me'!$B$8,"sim","não"))</f>
        <v>não</v>
      </c>
      <c r="J61" s="10" t="str">
        <f t="shared" si="1"/>
        <v>cotado</v>
      </c>
    </row>
    <row r="62" spans="1:10" x14ac:dyDescent="0.3">
      <c r="A62" s="10" t="s">
        <v>85</v>
      </c>
      <c r="B62" s="10" t="s">
        <v>95</v>
      </c>
      <c r="C62" s="10" t="s">
        <v>144</v>
      </c>
      <c r="D62" s="10">
        <f>COUNTIFS('Cotações CEASA'!$A$2:$A$124,B62)</f>
        <v>1</v>
      </c>
      <c r="E62" s="11">
        <f t="array" ref="E62">IF(D62=0,"",MEDIAN(IF('Cotações CEASA'!$A$2:$A$124=B62,'Cotações CEASA'!$F$2:$F$124)))</f>
        <v>8.695652173913043</v>
      </c>
      <c r="F62" s="11">
        <f>IF(D62=0,"",_xlfn.MINIFS('Cotações CEASA'!$F$2:$F$124,'Cotações CEASA'!$A$2:$A$124,B62))</f>
        <v>8.695652173913043</v>
      </c>
      <c r="G62" s="11">
        <f>IF(D62=0,"",_xlfn.MAXIFS('Cotações CEASA'!$F$2:$F$124,'Cotações CEASA'!$A$2:$A$124,B62))</f>
        <v>8.695652173913043</v>
      </c>
      <c r="H62" s="12">
        <f>IF(D62=0,"",_xlfn.MAXIFS('Cotações CEASA'!$G$2:$G$124,'Cotações CEASA'!$A$2:$A$124,B62))</f>
        <v>46310</v>
      </c>
      <c r="I62" s="10" t="str">
        <f>IF(E62="","",IF(E62&gt;'Leia-me'!$B$8,"sim","não"))</f>
        <v>sim</v>
      </c>
      <c r="J62" s="10" t="str">
        <f t="shared" si="1"/>
        <v>cotado</v>
      </c>
    </row>
    <row r="63" spans="1:10" x14ac:dyDescent="0.3">
      <c r="A63" s="10" t="s">
        <v>85</v>
      </c>
      <c r="B63" s="10" t="s">
        <v>148</v>
      </c>
      <c r="C63" s="10" t="s">
        <v>144</v>
      </c>
      <c r="D63" s="10">
        <f>COUNTIFS('Cotações CEASA'!$A$2:$A$124,B63)</f>
        <v>1</v>
      </c>
      <c r="E63" s="11">
        <f t="array" ref="E63">IF(D63=0,"",MEDIAN(IF('Cotações CEASA'!$A$2:$A$124=B63,'Cotações CEASA'!$F$2:$F$124)))</f>
        <v>2.5</v>
      </c>
      <c r="F63" s="11">
        <f>IF(D63=0,"",_xlfn.MINIFS('Cotações CEASA'!$F$2:$F$124,'Cotações CEASA'!$A$2:$A$124,B63))</f>
        <v>2.5</v>
      </c>
      <c r="G63" s="11">
        <f>IF(D63=0,"",_xlfn.MAXIFS('Cotações CEASA'!$F$2:$F$124,'Cotações CEASA'!$A$2:$A$124,B63))</f>
        <v>2.5</v>
      </c>
      <c r="H63" s="12">
        <f>IF(D63=0,"",_xlfn.MAXIFS('Cotações CEASA'!$G$2:$G$124,'Cotações CEASA'!$A$2:$A$124,B63))</f>
        <v>46305</v>
      </c>
      <c r="I63" s="10" t="str">
        <f>IF(E63="","",IF(E63&gt;'Leia-me'!$B$8,"sim","não"))</f>
        <v>não</v>
      </c>
      <c r="J63" s="10" t="str">
        <f t="shared" si="1"/>
        <v>cotado</v>
      </c>
    </row>
    <row r="64" spans="1:10" x14ac:dyDescent="0.3">
      <c r="A64" s="10" t="s">
        <v>85</v>
      </c>
      <c r="B64" s="10" t="s">
        <v>149</v>
      </c>
      <c r="C64" s="10" t="s">
        <v>144</v>
      </c>
      <c r="D64" s="10">
        <f>COUNTIFS('Cotações CEASA'!$A$2:$A$124,B64)</f>
        <v>1</v>
      </c>
      <c r="E64" s="11">
        <f t="array" ref="E64">IF(D64=0,"",MEDIAN(IF('Cotações CEASA'!$A$2:$A$124=B64,'Cotações CEASA'!$F$2:$F$124)))</f>
        <v>4.7826086956521738</v>
      </c>
      <c r="F64" s="11">
        <f>IF(D64=0,"",_xlfn.MINIFS('Cotações CEASA'!$F$2:$F$124,'Cotações CEASA'!$A$2:$A$124,B64))</f>
        <v>4.7826086956521738</v>
      </c>
      <c r="G64" s="11">
        <f>IF(D64=0,"",_xlfn.MAXIFS('Cotações CEASA'!$F$2:$F$124,'Cotações CEASA'!$A$2:$A$124,B64))</f>
        <v>4.7826086956521738</v>
      </c>
      <c r="H64" s="12">
        <f>IF(D64=0,"",_xlfn.MAXIFS('Cotações CEASA'!$G$2:$G$124,'Cotações CEASA'!$A$2:$A$124,B64))</f>
        <v>46309</v>
      </c>
      <c r="I64" s="10" t="str">
        <f>IF(E64="","",IF(E64&gt;'Leia-me'!$B$8,"sim","não"))</f>
        <v>sim</v>
      </c>
      <c r="J64" s="10" t="str">
        <f t="shared" si="1"/>
        <v>cotado</v>
      </c>
    </row>
    <row r="65" spans="1:10" x14ac:dyDescent="0.3">
      <c r="A65" s="10" t="s">
        <v>85</v>
      </c>
      <c r="B65" s="10" t="s">
        <v>98</v>
      </c>
      <c r="C65" s="10" t="s">
        <v>145</v>
      </c>
      <c r="D65" s="10">
        <f>COUNTIFS('Cotações CEASA'!$A$2:$A$124,B65)</f>
        <v>1</v>
      </c>
      <c r="E65" s="11">
        <f t="array" ref="E65">IF(D65=0,"",MEDIAN(IF('Cotações CEASA'!$A$2:$A$124=B65,'Cotações CEASA'!$F$2:$F$124)))</f>
        <v>5</v>
      </c>
      <c r="F65" s="11">
        <f>IF(D65=0,"",_xlfn.MINIFS('Cotações CEASA'!$F$2:$F$124,'Cotações CEASA'!$A$2:$A$124,B65))</f>
        <v>5</v>
      </c>
      <c r="G65" s="11">
        <f>IF(D65=0,"",_xlfn.MAXIFS('Cotações CEASA'!$F$2:$F$124,'Cotações CEASA'!$A$2:$A$124,B65))</f>
        <v>5</v>
      </c>
      <c r="H65" s="12">
        <f>IF(D65=0,"",_xlfn.MAXIFS('Cotações CEASA'!$G$2:$G$124,'Cotações CEASA'!$A$2:$A$124,B65))</f>
        <v>46310</v>
      </c>
      <c r="I65" s="10" t="str">
        <f>IF(E65="","",IF(E65&gt;'Leia-me'!$B$8,"sim","não"))</f>
        <v>sim</v>
      </c>
      <c r="J65" s="10" t="str">
        <f t="shared" si="1"/>
        <v>cotado</v>
      </c>
    </row>
    <row r="67" spans="1:10" x14ac:dyDescent="0.3">
      <c r="B67" s="2" t="s">
        <v>150</v>
      </c>
      <c r="E67" s="10">
        <f>COUNTIF(J2:J65,"cotado")</f>
        <v>64</v>
      </c>
    </row>
    <row r="68" spans="1:10" x14ac:dyDescent="0.3">
      <c r="B68" s="2" t="s">
        <v>151</v>
      </c>
      <c r="E68" s="10">
        <f>COUNTIF(I2:I65,"sim")</f>
        <v>45</v>
      </c>
    </row>
    <row r="69" spans="1:10" x14ac:dyDescent="0.3">
      <c r="B69" s="2" t="s">
        <v>152</v>
      </c>
      <c r="E69" s="13">
        <f>'Leia-me'!$B$8</f>
        <v>3.99</v>
      </c>
    </row>
  </sheetData>
  <autoFilter ref="A1:J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52" customWidth="1"/>
    <col min="3" max="3" width="16" customWidth="1"/>
    <col min="4" max="4" width="14" customWidth="1"/>
    <col min="5" max="5" width="16" customWidth="1"/>
    <col min="6" max="6" width="12" customWidth="1"/>
    <col min="7" max="7" width="14" customWidth="1"/>
  </cols>
  <sheetData>
    <row r="1" spans="1:7" ht="31.95" customHeight="1" x14ac:dyDescent="0.3">
      <c r="A1" s="5" t="s">
        <v>136</v>
      </c>
      <c r="B1" s="5" t="s">
        <v>153</v>
      </c>
      <c r="C1" s="5" t="s">
        <v>154</v>
      </c>
      <c r="D1" s="5" t="s">
        <v>155</v>
      </c>
      <c r="E1" s="5" t="s">
        <v>156</v>
      </c>
      <c r="F1" s="5" t="s">
        <v>157</v>
      </c>
      <c r="G1" s="5" t="s">
        <v>142</v>
      </c>
    </row>
    <row r="2" spans="1:7" x14ac:dyDescent="0.3">
      <c r="A2" s="10" t="s">
        <v>37</v>
      </c>
      <c r="B2" s="10" t="s">
        <v>158</v>
      </c>
      <c r="C2" s="10" t="s">
        <v>159</v>
      </c>
      <c r="D2" s="14">
        <v>0.4</v>
      </c>
      <c r="E2" s="11">
        <v>2.5</v>
      </c>
      <c r="F2" s="11">
        <f t="shared" ref="F2:F33" si="0">E2/D2</f>
        <v>6.25</v>
      </c>
      <c r="G2" s="12">
        <v>46310</v>
      </c>
    </row>
    <row r="3" spans="1:7" x14ac:dyDescent="0.3">
      <c r="A3" s="10" t="s">
        <v>33</v>
      </c>
      <c r="B3" s="10" t="s">
        <v>160</v>
      </c>
      <c r="C3" s="10" t="s">
        <v>161</v>
      </c>
      <c r="D3" s="14">
        <v>7.5</v>
      </c>
      <c r="E3" s="11">
        <v>35</v>
      </c>
      <c r="F3" s="11">
        <f t="shared" si="0"/>
        <v>4.666666666666667</v>
      </c>
      <c r="G3" s="12">
        <v>46310</v>
      </c>
    </row>
    <row r="4" spans="1:7" x14ac:dyDescent="0.3">
      <c r="A4" s="10" t="s">
        <v>33</v>
      </c>
      <c r="B4" s="10" t="s">
        <v>162</v>
      </c>
      <c r="C4" s="10" t="s">
        <v>163</v>
      </c>
      <c r="D4" s="14">
        <v>7</v>
      </c>
      <c r="E4" s="11">
        <v>30</v>
      </c>
      <c r="F4" s="11">
        <f t="shared" si="0"/>
        <v>4.2857142857142856</v>
      </c>
      <c r="G4" s="12">
        <v>46310</v>
      </c>
    </row>
    <row r="5" spans="1:7" x14ac:dyDescent="0.3">
      <c r="A5" s="10" t="s">
        <v>33</v>
      </c>
      <c r="B5" s="10" t="s">
        <v>164</v>
      </c>
      <c r="C5" s="10" t="s">
        <v>165</v>
      </c>
      <c r="D5" s="14">
        <v>6</v>
      </c>
      <c r="E5" s="11">
        <v>20</v>
      </c>
      <c r="F5" s="11">
        <f t="shared" si="0"/>
        <v>3.3333333333333335</v>
      </c>
      <c r="G5" s="12">
        <v>46310</v>
      </c>
    </row>
    <row r="6" spans="1:7" x14ac:dyDescent="0.3">
      <c r="A6" s="10" t="s">
        <v>33</v>
      </c>
      <c r="B6" s="10" t="s">
        <v>166</v>
      </c>
      <c r="C6" s="10" t="s">
        <v>163</v>
      </c>
      <c r="D6" s="14">
        <v>7</v>
      </c>
      <c r="E6" s="11">
        <v>35</v>
      </c>
      <c r="F6" s="11">
        <f t="shared" si="0"/>
        <v>5</v>
      </c>
      <c r="G6" s="12">
        <v>46310</v>
      </c>
    </row>
    <row r="7" spans="1:7" x14ac:dyDescent="0.3">
      <c r="A7" s="10" t="s">
        <v>33</v>
      </c>
      <c r="B7" s="10" t="s">
        <v>167</v>
      </c>
      <c r="C7" s="10" t="s">
        <v>165</v>
      </c>
      <c r="D7" s="14">
        <v>6</v>
      </c>
      <c r="E7" s="11">
        <v>20</v>
      </c>
      <c r="F7" s="11">
        <f t="shared" si="0"/>
        <v>3.3333333333333335</v>
      </c>
      <c r="G7" s="12">
        <v>46310</v>
      </c>
    </row>
    <row r="8" spans="1:7" x14ac:dyDescent="0.3">
      <c r="A8" s="10" t="s">
        <v>33</v>
      </c>
      <c r="B8" s="10" t="s">
        <v>168</v>
      </c>
      <c r="C8" s="10" t="s">
        <v>163</v>
      </c>
      <c r="D8" s="14">
        <v>7</v>
      </c>
      <c r="E8" s="11">
        <v>30</v>
      </c>
      <c r="F8" s="11">
        <f t="shared" si="0"/>
        <v>4.2857142857142856</v>
      </c>
      <c r="G8" s="12">
        <v>46310</v>
      </c>
    </row>
    <row r="9" spans="1:7" x14ac:dyDescent="0.3">
      <c r="A9" s="10" t="s">
        <v>35</v>
      </c>
      <c r="B9" s="10" t="s">
        <v>169</v>
      </c>
      <c r="C9" s="10" t="s">
        <v>170</v>
      </c>
      <c r="D9" s="14">
        <v>2</v>
      </c>
      <c r="E9" s="11">
        <v>15</v>
      </c>
      <c r="F9" s="11">
        <f t="shared" si="0"/>
        <v>7.5</v>
      </c>
      <c r="G9" s="12">
        <v>46310</v>
      </c>
    </row>
    <row r="10" spans="1:7" x14ac:dyDescent="0.3">
      <c r="A10" s="10" t="s">
        <v>38</v>
      </c>
      <c r="B10" s="10" t="s">
        <v>171</v>
      </c>
      <c r="C10" s="10" t="s">
        <v>172</v>
      </c>
      <c r="D10" s="14">
        <v>0.3</v>
      </c>
      <c r="E10" s="11">
        <v>2</v>
      </c>
      <c r="F10" s="11">
        <f t="shared" si="0"/>
        <v>6.666666666666667</v>
      </c>
      <c r="G10" s="12">
        <v>46310</v>
      </c>
    </row>
    <row r="11" spans="1:7" x14ac:dyDescent="0.3">
      <c r="A11" s="10" t="s">
        <v>38</v>
      </c>
      <c r="B11" s="10" t="s">
        <v>173</v>
      </c>
      <c r="C11" s="10" t="s">
        <v>159</v>
      </c>
      <c r="D11" s="14">
        <v>0.4</v>
      </c>
      <c r="E11" s="11">
        <v>2</v>
      </c>
      <c r="F11" s="11">
        <f t="shared" si="0"/>
        <v>5</v>
      </c>
      <c r="G11" s="12">
        <v>46310</v>
      </c>
    </row>
    <row r="12" spans="1:7" x14ac:dyDescent="0.3">
      <c r="A12" s="10" t="s">
        <v>41</v>
      </c>
      <c r="B12" s="10" t="s">
        <v>174</v>
      </c>
      <c r="C12" s="10" t="s">
        <v>175</v>
      </c>
      <c r="D12" s="14">
        <v>6</v>
      </c>
      <c r="E12" s="11">
        <v>35</v>
      </c>
      <c r="F12" s="11">
        <f t="shared" si="0"/>
        <v>5.833333333333333</v>
      </c>
      <c r="G12" s="12">
        <v>46310</v>
      </c>
    </row>
    <row r="13" spans="1:7" x14ac:dyDescent="0.3">
      <c r="A13" s="10" t="s">
        <v>41</v>
      </c>
      <c r="B13" s="10" t="s">
        <v>176</v>
      </c>
      <c r="C13" s="10" t="s">
        <v>177</v>
      </c>
      <c r="D13" s="14">
        <v>0.5</v>
      </c>
      <c r="E13" s="11">
        <v>3</v>
      </c>
      <c r="F13" s="11">
        <f t="shared" si="0"/>
        <v>6</v>
      </c>
      <c r="G13" s="12">
        <v>46310</v>
      </c>
    </row>
    <row r="14" spans="1:7" x14ac:dyDescent="0.3">
      <c r="A14" s="10" t="s">
        <v>47</v>
      </c>
      <c r="B14" s="10" t="s">
        <v>178</v>
      </c>
      <c r="C14" s="10" t="s">
        <v>159</v>
      </c>
      <c r="D14" s="14">
        <v>0.4</v>
      </c>
      <c r="E14" s="11">
        <v>4</v>
      </c>
      <c r="F14" s="11">
        <f t="shared" si="0"/>
        <v>10</v>
      </c>
      <c r="G14" s="12">
        <v>46310</v>
      </c>
    </row>
    <row r="15" spans="1:7" x14ac:dyDescent="0.3">
      <c r="A15" s="10" t="s">
        <v>44</v>
      </c>
      <c r="B15" s="10" t="s">
        <v>179</v>
      </c>
      <c r="C15" s="10" t="s">
        <v>159</v>
      </c>
      <c r="D15" s="14">
        <v>0.4</v>
      </c>
      <c r="E15" s="11">
        <v>2</v>
      </c>
      <c r="F15" s="11">
        <f t="shared" si="0"/>
        <v>5</v>
      </c>
      <c r="G15" s="12">
        <v>46310</v>
      </c>
    </row>
    <row r="16" spans="1:7" x14ac:dyDescent="0.3">
      <c r="A16" s="10" t="s">
        <v>46</v>
      </c>
      <c r="B16" s="10" t="s">
        <v>180</v>
      </c>
      <c r="C16" s="10" t="s">
        <v>181</v>
      </c>
      <c r="D16" s="14">
        <v>15</v>
      </c>
      <c r="E16" s="11">
        <v>35</v>
      </c>
      <c r="F16" s="11">
        <f t="shared" si="0"/>
        <v>2.3333333333333335</v>
      </c>
      <c r="G16" s="12">
        <v>46310</v>
      </c>
    </row>
    <row r="17" spans="1:7" x14ac:dyDescent="0.3">
      <c r="A17" s="10" t="s">
        <v>46</v>
      </c>
      <c r="B17" s="10" t="s">
        <v>182</v>
      </c>
      <c r="C17" s="10" t="s">
        <v>181</v>
      </c>
      <c r="D17" s="14">
        <v>15</v>
      </c>
      <c r="E17" s="11">
        <v>30</v>
      </c>
      <c r="F17" s="11">
        <f t="shared" si="0"/>
        <v>2</v>
      </c>
      <c r="G17" s="12">
        <v>46310</v>
      </c>
    </row>
    <row r="18" spans="1:7" x14ac:dyDescent="0.3">
      <c r="A18" s="10" t="s">
        <v>46</v>
      </c>
      <c r="B18" s="10" t="s">
        <v>183</v>
      </c>
      <c r="C18" s="10" t="s">
        <v>184</v>
      </c>
      <c r="D18" s="14">
        <v>1.5</v>
      </c>
      <c r="E18" s="11">
        <v>2.5</v>
      </c>
      <c r="F18" s="11">
        <f t="shared" si="0"/>
        <v>1.6666666666666667</v>
      </c>
      <c r="G18" s="12">
        <v>46310</v>
      </c>
    </row>
    <row r="19" spans="1:7" x14ac:dyDescent="0.3">
      <c r="A19" s="10" t="s">
        <v>39</v>
      </c>
      <c r="B19" s="10" t="s">
        <v>185</v>
      </c>
      <c r="C19" s="10" t="s">
        <v>186</v>
      </c>
      <c r="D19" s="14">
        <v>24</v>
      </c>
      <c r="E19" s="11">
        <v>40</v>
      </c>
      <c r="F19" s="11">
        <f t="shared" si="0"/>
        <v>1.6666666666666667</v>
      </c>
      <c r="G19" s="12">
        <v>46310</v>
      </c>
    </row>
    <row r="20" spans="1:7" x14ac:dyDescent="0.3">
      <c r="A20" s="10" t="s">
        <v>39</v>
      </c>
      <c r="B20" s="10" t="s">
        <v>187</v>
      </c>
      <c r="C20" s="10" t="s">
        <v>188</v>
      </c>
      <c r="D20" s="14">
        <v>20</v>
      </c>
      <c r="E20" s="11">
        <v>30</v>
      </c>
      <c r="F20" s="11">
        <f t="shared" si="0"/>
        <v>1.5</v>
      </c>
      <c r="G20" s="12">
        <v>46310</v>
      </c>
    </row>
    <row r="21" spans="1:7" x14ac:dyDescent="0.3">
      <c r="A21" s="10" t="s">
        <v>39</v>
      </c>
      <c r="B21" s="10" t="s">
        <v>189</v>
      </c>
      <c r="C21" s="10" t="s">
        <v>184</v>
      </c>
      <c r="D21" s="14">
        <v>1.5</v>
      </c>
      <c r="E21" s="11">
        <v>5</v>
      </c>
      <c r="F21" s="11">
        <f t="shared" si="0"/>
        <v>3.3333333333333335</v>
      </c>
      <c r="G21" s="12">
        <v>46310</v>
      </c>
    </row>
    <row r="22" spans="1:7" x14ac:dyDescent="0.3">
      <c r="A22" s="10" t="s">
        <v>48</v>
      </c>
      <c r="B22" s="10" t="s">
        <v>190</v>
      </c>
      <c r="C22" s="10" t="s">
        <v>163</v>
      </c>
      <c r="D22" s="14">
        <v>7</v>
      </c>
      <c r="E22" s="11">
        <v>35</v>
      </c>
      <c r="F22" s="11">
        <f t="shared" si="0"/>
        <v>5</v>
      </c>
      <c r="G22" s="12">
        <v>46310</v>
      </c>
    </row>
    <row r="23" spans="1:7" x14ac:dyDescent="0.3">
      <c r="A23" s="10" t="s">
        <v>49</v>
      </c>
      <c r="B23" s="10" t="s">
        <v>191</v>
      </c>
      <c r="C23" s="10" t="s">
        <v>159</v>
      </c>
      <c r="D23" s="14">
        <v>0.4</v>
      </c>
      <c r="E23" s="11">
        <v>2.5</v>
      </c>
      <c r="F23" s="11">
        <f t="shared" si="0"/>
        <v>6.25</v>
      </c>
      <c r="G23" s="12">
        <v>46310</v>
      </c>
    </row>
    <row r="24" spans="1:7" x14ac:dyDescent="0.3">
      <c r="A24" s="10" t="s">
        <v>50</v>
      </c>
      <c r="B24" s="10" t="s">
        <v>192</v>
      </c>
      <c r="C24" s="10" t="s">
        <v>159</v>
      </c>
      <c r="D24" s="14">
        <v>0.4</v>
      </c>
      <c r="E24" s="11">
        <v>2</v>
      </c>
      <c r="F24" s="11">
        <f t="shared" si="0"/>
        <v>5</v>
      </c>
      <c r="G24" s="12">
        <v>46310</v>
      </c>
    </row>
    <row r="25" spans="1:7" x14ac:dyDescent="0.3">
      <c r="A25" s="10" t="s">
        <v>106</v>
      </c>
      <c r="B25" s="10" t="s">
        <v>193</v>
      </c>
      <c r="C25" s="10" t="s">
        <v>194</v>
      </c>
      <c r="D25" s="14">
        <v>25</v>
      </c>
      <c r="E25" s="11">
        <v>30</v>
      </c>
      <c r="F25" s="11">
        <f t="shared" si="0"/>
        <v>1.2</v>
      </c>
      <c r="G25" s="12">
        <v>46310</v>
      </c>
    </row>
    <row r="26" spans="1:7" x14ac:dyDescent="0.3">
      <c r="A26" s="10" t="s">
        <v>106</v>
      </c>
      <c r="B26" s="10" t="s">
        <v>195</v>
      </c>
      <c r="C26" s="10" t="s">
        <v>196</v>
      </c>
      <c r="D26" s="14">
        <v>2</v>
      </c>
      <c r="E26" s="11">
        <v>3</v>
      </c>
      <c r="F26" s="11">
        <f t="shared" si="0"/>
        <v>1.5</v>
      </c>
      <c r="G26" s="12">
        <v>46310</v>
      </c>
    </row>
    <row r="27" spans="1:7" x14ac:dyDescent="0.3">
      <c r="A27" s="10" t="s">
        <v>106</v>
      </c>
      <c r="B27" s="10" t="s">
        <v>197</v>
      </c>
      <c r="C27" s="10" t="s">
        <v>198</v>
      </c>
      <c r="D27" s="14">
        <v>2</v>
      </c>
      <c r="E27" s="11">
        <v>1.5</v>
      </c>
      <c r="F27" s="11">
        <f t="shared" si="0"/>
        <v>0.75</v>
      </c>
      <c r="G27" s="12">
        <v>46310</v>
      </c>
    </row>
    <row r="28" spans="1:7" x14ac:dyDescent="0.3">
      <c r="A28" s="10" t="s">
        <v>106</v>
      </c>
      <c r="B28" s="10" t="s">
        <v>199</v>
      </c>
      <c r="C28" s="10" t="s">
        <v>194</v>
      </c>
      <c r="D28" s="14">
        <v>25</v>
      </c>
      <c r="E28" s="11">
        <v>20</v>
      </c>
      <c r="F28" s="11">
        <f t="shared" si="0"/>
        <v>0.8</v>
      </c>
      <c r="G28" s="12">
        <v>46310</v>
      </c>
    </row>
    <row r="29" spans="1:7" x14ac:dyDescent="0.3">
      <c r="A29" s="10" t="s">
        <v>106</v>
      </c>
      <c r="B29" s="10" t="s">
        <v>200</v>
      </c>
      <c r="C29" s="10" t="s">
        <v>194</v>
      </c>
      <c r="D29" s="14">
        <v>25</v>
      </c>
      <c r="E29" s="11">
        <v>16</v>
      </c>
      <c r="F29" s="11">
        <f t="shared" si="0"/>
        <v>0.64</v>
      </c>
      <c r="G29" s="12">
        <v>46310</v>
      </c>
    </row>
    <row r="30" spans="1:7" x14ac:dyDescent="0.3">
      <c r="A30" s="10" t="s">
        <v>51</v>
      </c>
      <c r="B30" s="10" t="s">
        <v>201</v>
      </c>
      <c r="C30" s="10" t="s">
        <v>172</v>
      </c>
      <c r="D30" s="14">
        <v>0.3</v>
      </c>
      <c r="E30" s="11">
        <v>2.5</v>
      </c>
      <c r="F30" s="11">
        <f t="shared" si="0"/>
        <v>8.3333333333333339</v>
      </c>
      <c r="G30" s="12">
        <v>46310</v>
      </c>
    </row>
    <row r="31" spans="1:7" x14ac:dyDescent="0.3">
      <c r="A31" s="10" t="s">
        <v>51</v>
      </c>
      <c r="B31" s="10" t="s">
        <v>202</v>
      </c>
      <c r="C31" s="10" t="s">
        <v>172</v>
      </c>
      <c r="D31" s="14">
        <v>0.3</v>
      </c>
      <c r="E31" s="11">
        <v>2</v>
      </c>
      <c r="F31" s="11">
        <f t="shared" si="0"/>
        <v>6.666666666666667</v>
      </c>
      <c r="G31" s="12">
        <v>46310</v>
      </c>
    </row>
    <row r="32" spans="1:7" x14ac:dyDescent="0.3">
      <c r="A32" s="10" t="s">
        <v>107</v>
      </c>
      <c r="B32" s="10" t="s">
        <v>203</v>
      </c>
      <c r="C32" s="10" t="s">
        <v>204</v>
      </c>
      <c r="D32" s="14">
        <v>20</v>
      </c>
      <c r="E32" s="11">
        <v>90</v>
      </c>
      <c r="F32" s="11">
        <f t="shared" si="0"/>
        <v>4.5</v>
      </c>
      <c r="G32" s="12">
        <v>46310</v>
      </c>
    </row>
    <row r="33" spans="1:7" x14ac:dyDescent="0.3">
      <c r="A33" s="10" t="s">
        <v>53</v>
      </c>
      <c r="B33" s="10" t="s">
        <v>205</v>
      </c>
      <c r="C33" s="10" t="s">
        <v>206</v>
      </c>
      <c r="D33" s="14">
        <v>20</v>
      </c>
      <c r="E33" s="11">
        <v>45</v>
      </c>
      <c r="F33" s="11">
        <f t="shared" si="0"/>
        <v>2.25</v>
      </c>
      <c r="G33" s="12">
        <v>46310</v>
      </c>
    </row>
    <row r="34" spans="1:7" x14ac:dyDescent="0.3">
      <c r="A34" s="10" t="s">
        <v>53</v>
      </c>
      <c r="B34" s="10" t="s">
        <v>207</v>
      </c>
      <c r="C34" s="10" t="s">
        <v>206</v>
      </c>
      <c r="D34" s="14">
        <v>20</v>
      </c>
      <c r="E34" s="11">
        <v>40</v>
      </c>
      <c r="F34" s="11">
        <f t="shared" ref="F34:F65" si="1">E34/D34</f>
        <v>2</v>
      </c>
      <c r="G34" s="12">
        <v>46310</v>
      </c>
    </row>
    <row r="35" spans="1:7" x14ac:dyDescent="0.3">
      <c r="A35" s="10" t="s">
        <v>53</v>
      </c>
      <c r="B35" s="10" t="s">
        <v>208</v>
      </c>
      <c r="C35" s="10" t="s">
        <v>206</v>
      </c>
      <c r="D35" s="14">
        <v>20</v>
      </c>
      <c r="E35" s="11">
        <v>35</v>
      </c>
      <c r="F35" s="11">
        <f t="shared" si="1"/>
        <v>1.75</v>
      </c>
      <c r="G35" s="12">
        <v>46310</v>
      </c>
    </row>
    <row r="36" spans="1:7" x14ac:dyDescent="0.3">
      <c r="A36" s="10" t="s">
        <v>53</v>
      </c>
      <c r="B36" s="10" t="s">
        <v>209</v>
      </c>
      <c r="C36" s="10" t="s">
        <v>210</v>
      </c>
      <c r="D36" s="14">
        <v>1</v>
      </c>
      <c r="E36" s="11">
        <v>3</v>
      </c>
      <c r="F36" s="11">
        <f t="shared" si="1"/>
        <v>3</v>
      </c>
      <c r="G36" s="12">
        <v>46310</v>
      </c>
    </row>
    <row r="37" spans="1:7" x14ac:dyDescent="0.3">
      <c r="A37" s="10" t="s">
        <v>109</v>
      </c>
      <c r="B37" s="10" t="s">
        <v>211</v>
      </c>
      <c r="C37" s="10" t="s">
        <v>212</v>
      </c>
      <c r="D37" s="14">
        <v>12</v>
      </c>
      <c r="E37" s="11">
        <v>45</v>
      </c>
      <c r="F37" s="11">
        <f t="shared" si="1"/>
        <v>3.75</v>
      </c>
      <c r="G37" s="12">
        <v>46310</v>
      </c>
    </row>
    <row r="38" spans="1:7" x14ac:dyDescent="0.3">
      <c r="A38" s="10" t="s">
        <v>55</v>
      </c>
      <c r="B38" s="10" t="s">
        <v>213</v>
      </c>
      <c r="C38" s="10" t="s">
        <v>204</v>
      </c>
      <c r="D38" s="14">
        <v>20</v>
      </c>
      <c r="E38" s="11">
        <v>35</v>
      </c>
      <c r="F38" s="11">
        <f t="shared" si="1"/>
        <v>1.75</v>
      </c>
      <c r="G38" s="12">
        <v>46310</v>
      </c>
    </row>
    <row r="39" spans="1:7" x14ac:dyDescent="0.3">
      <c r="A39" s="10" t="s">
        <v>56</v>
      </c>
      <c r="B39" s="10" t="s">
        <v>214</v>
      </c>
      <c r="C39" s="10" t="s">
        <v>212</v>
      </c>
      <c r="D39" s="14">
        <v>12</v>
      </c>
      <c r="E39" s="11">
        <v>150</v>
      </c>
      <c r="F39" s="11">
        <f t="shared" si="1"/>
        <v>12.5</v>
      </c>
      <c r="G39" s="12">
        <v>46310</v>
      </c>
    </row>
    <row r="40" spans="1:7" x14ac:dyDescent="0.3">
      <c r="A40" s="10" t="s">
        <v>110</v>
      </c>
      <c r="B40" s="10" t="s">
        <v>215</v>
      </c>
      <c r="C40" s="10" t="s">
        <v>216</v>
      </c>
      <c r="D40" s="14">
        <v>15</v>
      </c>
      <c r="E40" s="11">
        <v>115</v>
      </c>
      <c r="F40" s="11">
        <f t="shared" si="1"/>
        <v>7.666666666666667</v>
      </c>
      <c r="G40" s="12">
        <v>46310</v>
      </c>
    </row>
    <row r="41" spans="1:7" x14ac:dyDescent="0.3">
      <c r="A41" s="10" t="s">
        <v>113</v>
      </c>
      <c r="B41" s="10" t="s">
        <v>217</v>
      </c>
      <c r="C41" s="10" t="s">
        <v>218</v>
      </c>
      <c r="D41" s="14">
        <v>16</v>
      </c>
      <c r="E41" s="11">
        <v>130</v>
      </c>
      <c r="F41" s="11">
        <f t="shared" si="1"/>
        <v>8.125</v>
      </c>
      <c r="G41" s="12">
        <v>46309</v>
      </c>
    </row>
    <row r="42" spans="1:7" x14ac:dyDescent="0.3">
      <c r="A42" s="10" t="s">
        <v>114</v>
      </c>
      <c r="B42" s="10" t="s">
        <v>219</v>
      </c>
      <c r="C42" s="10" t="s">
        <v>220</v>
      </c>
      <c r="D42" s="14">
        <v>13</v>
      </c>
      <c r="E42" s="11">
        <v>55</v>
      </c>
      <c r="F42" s="11">
        <f t="shared" si="1"/>
        <v>4.2307692307692308</v>
      </c>
      <c r="G42" s="12">
        <v>46309</v>
      </c>
    </row>
    <row r="43" spans="1:7" x14ac:dyDescent="0.3">
      <c r="A43" s="10" t="s">
        <v>117</v>
      </c>
      <c r="B43" s="10" t="s">
        <v>221</v>
      </c>
      <c r="C43" s="10" t="s">
        <v>204</v>
      </c>
      <c r="D43" s="14">
        <v>20</v>
      </c>
      <c r="E43" s="11">
        <v>60</v>
      </c>
      <c r="F43" s="11">
        <f t="shared" si="1"/>
        <v>3</v>
      </c>
      <c r="G43" s="12">
        <v>46310</v>
      </c>
    </row>
    <row r="44" spans="1:7" x14ac:dyDescent="0.3">
      <c r="A44" s="10" t="s">
        <v>117</v>
      </c>
      <c r="B44" s="10" t="s">
        <v>222</v>
      </c>
      <c r="C44" s="10" t="s">
        <v>204</v>
      </c>
      <c r="D44" s="14">
        <v>20</v>
      </c>
      <c r="E44" s="11">
        <v>80</v>
      </c>
      <c r="F44" s="11">
        <f t="shared" si="1"/>
        <v>4</v>
      </c>
      <c r="G44" s="12">
        <v>46310</v>
      </c>
    </row>
    <row r="45" spans="1:7" x14ac:dyDescent="0.3">
      <c r="A45" s="10" t="s">
        <v>117</v>
      </c>
      <c r="B45" s="10" t="s">
        <v>223</v>
      </c>
      <c r="C45" s="10" t="s">
        <v>204</v>
      </c>
      <c r="D45" s="14">
        <v>20</v>
      </c>
      <c r="E45" s="11">
        <v>100</v>
      </c>
      <c r="F45" s="11">
        <f t="shared" si="1"/>
        <v>5</v>
      </c>
      <c r="G45" s="12">
        <v>46310</v>
      </c>
    </row>
    <row r="46" spans="1:7" x14ac:dyDescent="0.3">
      <c r="A46" s="10" t="s">
        <v>120</v>
      </c>
      <c r="B46" s="10" t="s">
        <v>224</v>
      </c>
      <c r="C46" s="10" t="s">
        <v>212</v>
      </c>
      <c r="D46" s="14">
        <v>12</v>
      </c>
      <c r="E46" s="11">
        <v>130</v>
      </c>
      <c r="F46" s="11">
        <f t="shared" si="1"/>
        <v>10.833333333333334</v>
      </c>
      <c r="G46" s="12">
        <v>46310</v>
      </c>
    </row>
    <row r="47" spans="1:7" x14ac:dyDescent="0.3">
      <c r="A47" s="10" t="s">
        <v>120</v>
      </c>
      <c r="B47" s="10" t="s">
        <v>225</v>
      </c>
      <c r="C47" s="10" t="s">
        <v>226</v>
      </c>
      <c r="D47" s="14">
        <v>10</v>
      </c>
      <c r="E47" s="11">
        <v>200</v>
      </c>
      <c r="F47" s="11">
        <f t="shared" si="1"/>
        <v>20</v>
      </c>
      <c r="G47" s="12">
        <v>46310</v>
      </c>
    </row>
    <row r="48" spans="1:7" x14ac:dyDescent="0.3">
      <c r="A48" s="10" t="s">
        <v>116</v>
      </c>
      <c r="B48" s="10" t="s">
        <v>227</v>
      </c>
      <c r="C48" s="10" t="s">
        <v>212</v>
      </c>
      <c r="D48" s="14">
        <v>12</v>
      </c>
      <c r="E48" s="11">
        <v>150</v>
      </c>
      <c r="F48" s="11">
        <f t="shared" si="1"/>
        <v>12.5</v>
      </c>
      <c r="G48" s="12">
        <v>46310</v>
      </c>
    </row>
    <row r="49" spans="1:7" x14ac:dyDescent="0.3">
      <c r="A49" s="10" t="s">
        <v>116</v>
      </c>
      <c r="B49" s="10" t="s">
        <v>228</v>
      </c>
      <c r="C49" s="10" t="s">
        <v>212</v>
      </c>
      <c r="D49" s="14">
        <v>12</v>
      </c>
      <c r="E49" s="11">
        <v>120</v>
      </c>
      <c r="F49" s="11">
        <f t="shared" si="1"/>
        <v>10</v>
      </c>
      <c r="G49" s="12">
        <v>46310</v>
      </c>
    </row>
    <row r="50" spans="1:7" x14ac:dyDescent="0.3">
      <c r="A50" s="10" t="s">
        <v>116</v>
      </c>
      <c r="B50" s="10" t="s">
        <v>229</v>
      </c>
      <c r="C50" s="10" t="s">
        <v>212</v>
      </c>
      <c r="D50" s="14">
        <v>12</v>
      </c>
      <c r="E50" s="11">
        <v>80</v>
      </c>
      <c r="F50" s="11">
        <f t="shared" si="1"/>
        <v>6.666666666666667</v>
      </c>
      <c r="G50" s="12">
        <v>46310</v>
      </c>
    </row>
    <row r="51" spans="1:7" x14ac:dyDescent="0.3">
      <c r="A51" s="10" t="s">
        <v>116</v>
      </c>
      <c r="B51" s="10" t="s">
        <v>230</v>
      </c>
      <c r="C51" s="10" t="s">
        <v>212</v>
      </c>
      <c r="D51" s="14">
        <v>12</v>
      </c>
      <c r="E51" s="11">
        <v>110</v>
      </c>
      <c r="F51" s="11">
        <f t="shared" si="1"/>
        <v>9.1666666666666661</v>
      </c>
      <c r="G51" s="12">
        <v>46310</v>
      </c>
    </row>
    <row r="52" spans="1:7" x14ac:dyDescent="0.3">
      <c r="A52" s="10" t="s">
        <v>112</v>
      </c>
      <c r="B52" s="10" t="s">
        <v>231</v>
      </c>
      <c r="C52" s="10" t="s">
        <v>216</v>
      </c>
      <c r="D52" s="14">
        <v>15</v>
      </c>
      <c r="E52" s="11">
        <v>150</v>
      </c>
      <c r="F52" s="11">
        <f t="shared" si="1"/>
        <v>10</v>
      </c>
      <c r="G52" s="12">
        <v>46310</v>
      </c>
    </row>
    <row r="53" spans="1:7" x14ac:dyDescent="0.3">
      <c r="A53" s="10" t="s">
        <v>112</v>
      </c>
      <c r="B53" s="10" t="s">
        <v>232</v>
      </c>
      <c r="C53" s="10" t="s">
        <v>216</v>
      </c>
      <c r="D53" s="14">
        <v>15</v>
      </c>
      <c r="E53" s="11">
        <v>110</v>
      </c>
      <c r="F53" s="11">
        <f t="shared" si="1"/>
        <v>7.333333333333333</v>
      </c>
      <c r="G53" s="12">
        <v>46310</v>
      </c>
    </row>
    <row r="54" spans="1:7" x14ac:dyDescent="0.3">
      <c r="A54" s="10" t="s">
        <v>119</v>
      </c>
      <c r="B54" s="10" t="s">
        <v>233</v>
      </c>
      <c r="C54" s="10" t="s">
        <v>204</v>
      </c>
      <c r="D54" s="14">
        <v>20</v>
      </c>
      <c r="E54" s="11">
        <v>200</v>
      </c>
      <c r="F54" s="11">
        <f t="shared" si="1"/>
        <v>10</v>
      </c>
      <c r="G54" s="12">
        <v>46310</v>
      </c>
    </row>
    <row r="55" spans="1:7" x14ac:dyDescent="0.3">
      <c r="A55" s="10" t="s">
        <v>119</v>
      </c>
      <c r="B55" s="10" t="s">
        <v>234</v>
      </c>
      <c r="C55" s="10" t="s">
        <v>204</v>
      </c>
      <c r="D55" s="14">
        <v>20</v>
      </c>
      <c r="E55" s="11">
        <v>200</v>
      </c>
      <c r="F55" s="11">
        <f t="shared" si="1"/>
        <v>10</v>
      </c>
      <c r="G55" s="12">
        <v>46310</v>
      </c>
    </row>
    <row r="56" spans="1:7" x14ac:dyDescent="0.3">
      <c r="A56" s="10" t="s">
        <v>119</v>
      </c>
      <c r="B56" s="10" t="s">
        <v>235</v>
      </c>
      <c r="C56" s="10" t="s">
        <v>204</v>
      </c>
      <c r="D56" s="14">
        <v>20</v>
      </c>
      <c r="E56" s="11">
        <v>180</v>
      </c>
      <c r="F56" s="11">
        <f t="shared" si="1"/>
        <v>9</v>
      </c>
      <c r="G56" s="12">
        <v>46310</v>
      </c>
    </row>
    <row r="57" spans="1:7" x14ac:dyDescent="0.3">
      <c r="A57" s="10" t="s">
        <v>119</v>
      </c>
      <c r="B57" s="10" t="s">
        <v>236</v>
      </c>
      <c r="C57" s="10" t="s">
        <v>204</v>
      </c>
      <c r="D57" s="14">
        <v>20</v>
      </c>
      <c r="E57" s="11">
        <v>230</v>
      </c>
      <c r="F57" s="11">
        <f t="shared" si="1"/>
        <v>11.5</v>
      </c>
      <c r="G57" s="12">
        <v>46310</v>
      </c>
    </row>
    <row r="58" spans="1:7" x14ac:dyDescent="0.3">
      <c r="A58" s="10" t="s">
        <v>58</v>
      </c>
      <c r="B58" s="10" t="s">
        <v>237</v>
      </c>
      <c r="C58" s="10" t="s">
        <v>204</v>
      </c>
      <c r="D58" s="14">
        <v>20</v>
      </c>
      <c r="E58" s="11">
        <v>50</v>
      </c>
      <c r="F58" s="11">
        <f t="shared" si="1"/>
        <v>2.5</v>
      </c>
      <c r="G58" s="12">
        <v>46310</v>
      </c>
    </row>
    <row r="59" spans="1:7" x14ac:dyDescent="0.3">
      <c r="A59" s="10" t="s">
        <v>60</v>
      </c>
      <c r="B59" s="10" t="s">
        <v>238</v>
      </c>
      <c r="C59" s="10" t="s">
        <v>239</v>
      </c>
      <c r="D59" s="14">
        <v>25</v>
      </c>
      <c r="E59" s="11">
        <v>110</v>
      </c>
      <c r="F59" s="11">
        <f t="shared" si="1"/>
        <v>4.4000000000000004</v>
      </c>
      <c r="G59" s="12">
        <v>46310</v>
      </c>
    </row>
    <row r="60" spans="1:7" x14ac:dyDescent="0.3">
      <c r="A60" s="10" t="s">
        <v>61</v>
      </c>
      <c r="B60" s="10" t="s">
        <v>240</v>
      </c>
      <c r="C60" s="10" t="s">
        <v>204</v>
      </c>
      <c r="D60" s="14">
        <v>20</v>
      </c>
      <c r="E60" s="11">
        <v>65</v>
      </c>
      <c r="F60" s="11">
        <f t="shared" si="1"/>
        <v>3.25</v>
      </c>
      <c r="G60" s="12">
        <v>46310</v>
      </c>
    </row>
    <row r="61" spans="1:7" x14ac:dyDescent="0.3">
      <c r="A61" s="10" t="s">
        <v>62</v>
      </c>
      <c r="B61" s="10" t="s">
        <v>241</v>
      </c>
      <c r="C61" s="10" t="s">
        <v>204</v>
      </c>
      <c r="D61" s="14">
        <v>20</v>
      </c>
      <c r="E61" s="11">
        <v>35</v>
      </c>
      <c r="F61" s="11">
        <f t="shared" si="1"/>
        <v>1.75</v>
      </c>
      <c r="G61" s="12">
        <v>46310</v>
      </c>
    </row>
    <row r="62" spans="1:7" x14ac:dyDescent="0.3">
      <c r="A62" s="10" t="s">
        <v>62</v>
      </c>
      <c r="B62" s="10" t="s">
        <v>242</v>
      </c>
      <c r="C62" s="10" t="s">
        <v>243</v>
      </c>
      <c r="D62" s="14">
        <v>1.5</v>
      </c>
      <c r="E62" s="11">
        <v>3</v>
      </c>
      <c r="F62" s="11">
        <f t="shared" si="1"/>
        <v>2</v>
      </c>
      <c r="G62" s="12">
        <v>46310</v>
      </c>
    </row>
    <row r="63" spans="1:7" x14ac:dyDescent="0.3">
      <c r="A63" s="10" t="s">
        <v>62</v>
      </c>
      <c r="B63" s="10" t="s">
        <v>244</v>
      </c>
      <c r="C63" s="10" t="s">
        <v>243</v>
      </c>
      <c r="D63" s="14">
        <v>1.5</v>
      </c>
      <c r="E63" s="11">
        <v>2</v>
      </c>
      <c r="F63" s="11">
        <f t="shared" si="1"/>
        <v>1.3333333333333333</v>
      </c>
      <c r="G63" s="12">
        <v>46310</v>
      </c>
    </row>
    <row r="64" spans="1:7" x14ac:dyDescent="0.3">
      <c r="A64" s="10" t="s">
        <v>62</v>
      </c>
      <c r="B64" s="10" t="s">
        <v>245</v>
      </c>
      <c r="C64" s="10" t="s">
        <v>204</v>
      </c>
      <c r="D64" s="14">
        <v>20</v>
      </c>
      <c r="E64" s="11">
        <v>35</v>
      </c>
      <c r="F64" s="11">
        <f t="shared" si="1"/>
        <v>1.75</v>
      </c>
      <c r="G64" s="12">
        <v>46310</v>
      </c>
    </row>
    <row r="65" spans="1:7" x14ac:dyDescent="0.3">
      <c r="A65" s="10" t="s">
        <v>63</v>
      </c>
      <c r="B65" s="10" t="s">
        <v>246</v>
      </c>
      <c r="C65" s="10" t="s">
        <v>204</v>
      </c>
      <c r="D65" s="14">
        <v>20</v>
      </c>
      <c r="E65" s="11">
        <v>130</v>
      </c>
      <c r="F65" s="11">
        <f t="shared" si="1"/>
        <v>6.5</v>
      </c>
      <c r="G65" s="12">
        <v>46308</v>
      </c>
    </row>
    <row r="66" spans="1:7" x14ac:dyDescent="0.3">
      <c r="A66" s="10" t="s">
        <v>65</v>
      </c>
      <c r="B66" s="10" t="s">
        <v>247</v>
      </c>
      <c r="C66" s="10" t="s">
        <v>206</v>
      </c>
      <c r="D66" s="14">
        <v>20</v>
      </c>
      <c r="E66" s="11">
        <v>140</v>
      </c>
      <c r="F66" s="11">
        <f t="shared" ref="F66:F97" si="2">E66/D66</f>
        <v>7</v>
      </c>
      <c r="G66" s="12">
        <v>46310</v>
      </c>
    </row>
    <row r="67" spans="1:7" x14ac:dyDescent="0.3">
      <c r="A67" s="10" t="s">
        <v>64</v>
      </c>
      <c r="B67" s="10" t="s">
        <v>248</v>
      </c>
      <c r="C67" s="10" t="s">
        <v>204</v>
      </c>
      <c r="D67" s="14">
        <v>20</v>
      </c>
      <c r="E67" s="11">
        <v>40</v>
      </c>
      <c r="F67" s="11">
        <f t="shared" si="2"/>
        <v>2</v>
      </c>
      <c r="G67" s="12">
        <v>46310</v>
      </c>
    </row>
    <row r="68" spans="1:7" x14ac:dyDescent="0.3">
      <c r="A68" s="10" t="s">
        <v>66</v>
      </c>
      <c r="B68" s="10" t="s">
        <v>249</v>
      </c>
      <c r="C68" s="10" t="s">
        <v>204</v>
      </c>
      <c r="D68" s="14">
        <v>20</v>
      </c>
      <c r="E68" s="11">
        <v>80</v>
      </c>
      <c r="F68" s="11">
        <f t="shared" si="2"/>
        <v>4</v>
      </c>
      <c r="G68" s="12">
        <v>46310</v>
      </c>
    </row>
    <row r="69" spans="1:7" x14ac:dyDescent="0.3">
      <c r="A69" s="10" t="s">
        <v>70</v>
      </c>
      <c r="B69" s="10" t="s">
        <v>250</v>
      </c>
      <c r="C69" s="10" t="s">
        <v>204</v>
      </c>
      <c r="D69" s="14">
        <v>20</v>
      </c>
      <c r="E69" s="11">
        <v>60.95</v>
      </c>
      <c r="F69" s="11">
        <f t="shared" si="2"/>
        <v>3.0475000000000003</v>
      </c>
      <c r="G69" s="12">
        <v>46310</v>
      </c>
    </row>
    <row r="70" spans="1:7" x14ac:dyDescent="0.3">
      <c r="A70" s="10" t="s">
        <v>70</v>
      </c>
      <c r="B70" s="10" t="s">
        <v>251</v>
      </c>
      <c r="C70" s="10" t="s">
        <v>252</v>
      </c>
      <c r="D70" s="14">
        <v>5</v>
      </c>
      <c r="E70" s="11">
        <v>18</v>
      </c>
      <c r="F70" s="11">
        <f t="shared" si="2"/>
        <v>3.6</v>
      </c>
      <c r="G70" s="12">
        <v>46310</v>
      </c>
    </row>
    <row r="71" spans="1:7" x14ac:dyDescent="0.3">
      <c r="A71" s="10" t="s">
        <v>70</v>
      </c>
      <c r="B71" s="10" t="s">
        <v>253</v>
      </c>
      <c r="C71" s="10" t="s">
        <v>204</v>
      </c>
      <c r="D71" s="14">
        <v>20</v>
      </c>
      <c r="E71" s="11">
        <v>40</v>
      </c>
      <c r="F71" s="11">
        <f t="shared" si="2"/>
        <v>2</v>
      </c>
      <c r="G71" s="12">
        <v>46310</v>
      </c>
    </row>
    <row r="72" spans="1:7" x14ac:dyDescent="0.3">
      <c r="A72" s="10" t="s">
        <v>67</v>
      </c>
      <c r="B72" s="10" t="s">
        <v>254</v>
      </c>
      <c r="C72" s="10" t="s">
        <v>218</v>
      </c>
      <c r="D72" s="14">
        <v>16</v>
      </c>
      <c r="E72" s="11">
        <v>35</v>
      </c>
      <c r="F72" s="11">
        <f t="shared" si="2"/>
        <v>2.1875</v>
      </c>
      <c r="G72" s="12">
        <v>46310</v>
      </c>
    </row>
    <row r="73" spans="1:7" x14ac:dyDescent="0.3">
      <c r="A73" s="10" t="s">
        <v>67</v>
      </c>
      <c r="B73" s="10" t="s">
        <v>255</v>
      </c>
      <c r="C73" s="10" t="s">
        <v>256</v>
      </c>
      <c r="D73" s="14">
        <v>3</v>
      </c>
      <c r="E73" s="11">
        <v>7</v>
      </c>
      <c r="F73" s="11">
        <f t="shared" si="2"/>
        <v>2.3333333333333335</v>
      </c>
      <c r="G73" s="12">
        <v>46310</v>
      </c>
    </row>
    <row r="74" spans="1:7" x14ac:dyDescent="0.3">
      <c r="A74" s="10" t="s">
        <v>71</v>
      </c>
      <c r="B74" s="10" t="s">
        <v>257</v>
      </c>
      <c r="C74" s="10" t="s">
        <v>212</v>
      </c>
      <c r="D74" s="14">
        <v>12</v>
      </c>
      <c r="E74" s="11">
        <v>30</v>
      </c>
      <c r="F74" s="11">
        <f t="shared" si="2"/>
        <v>2.5</v>
      </c>
      <c r="G74" s="12">
        <v>46310</v>
      </c>
    </row>
    <row r="75" spans="1:7" x14ac:dyDescent="0.3">
      <c r="A75" s="10" t="s">
        <v>71</v>
      </c>
      <c r="B75" s="10" t="s">
        <v>258</v>
      </c>
      <c r="C75" s="10" t="s">
        <v>259</v>
      </c>
      <c r="D75" s="14">
        <v>1</v>
      </c>
      <c r="E75" s="11">
        <v>3</v>
      </c>
      <c r="F75" s="11">
        <f t="shared" si="2"/>
        <v>3</v>
      </c>
      <c r="G75" s="12">
        <v>46310</v>
      </c>
    </row>
    <row r="76" spans="1:7" x14ac:dyDescent="0.3">
      <c r="A76" s="10" t="s">
        <v>73</v>
      </c>
      <c r="B76" s="10" t="s">
        <v>260</v>
      </c>
      <c r="C76" s="10" t="s">
        <v>204</v>
      </c>
      <c r="D76" s="14">
        <v>20</v>
      </c>
      <c r="E76" s="11">
        <v>120</v>
      </c>
      <c r="F76" s="11">
        <f t="shared" si="2"/>
        <v>6</v>
      </c>
      <c r="G76" s="12">
        <v>46310</v>
      </c>
    </row>
    <row r="77" spans="1:7" x14ac:dyDescent="0.3">
      <c r="A77" s="10" t="s">
        <v>73</v>
      </c>
      <c r="B77" s="10" t="s">
        <v>261</v>
      </c>
      <c r="C77" s="10" t="s">
        <v>204</v>
      </c>
      <c r="D77" s="14">
        <v>20</v>
      </c>
      <c r="E77" s="11">
        <v>80</v>
      </c>
      <c r="F77" s="11">
        <f t="shared" si="2"/>
        <v>4</v>
      </c>
      <c r="G77" s="12">
        <v>46310</v>
      </c>
    </row>
    <row r="78" spans="1:7" x14ac:dyDescent="0.3">
      <c r="A78" s="10" t="s">
        <v>73</v>
      </c>
      <c r="B78" s="10" t="s">
        <v>262</v>
      </c>
      <c r="C78" s="10" t="s">
        <v>204</v>
      </c>
      <c r="D78" s="14">
        <v>20</v>
      </c>
      <c r="E78" s="11">
        <v>120</v>
      </c>
      <c r="F78" s="11">
        <f t="shared" si="2"/>
        <v>6</v>
      </c>
      <c r="G78" s="12">
        <v>46310</v>
      </c>
    </row>
    <row r="79" spans="1:7" x14ac:dyDescent="0.3">
      <c r="A79" s="10" t="s">
        <v>73</v>
      </c>
      <c r="B79" s="10" t="s">
        <v>263</v>
      </c>
      <c r="C79" s="10" t="s">
        <v>204</v>
      </c>
      <c r="D79" s="14">
        <v>20</v>
      </c>
      <c r="E79" s="11">
        <v>75</v>
      </c>
      <c r="F79" s="11">
        <f t="shared" si="2"/>
        <v>3.75</v>
      </c>
      <c r="G79" s="12">
        <v>46310</v>
      </c>
    </row>
    <row r="80" spans="1:7" x14ac:dyDescent="0.3">
      <c r="A80" s="10" t="s">
        <v>73</v>
      </c>
      <c r="B80" s="10" t="s">
        <v>264</v>
      </c>
      <c r="C80" s="10" t="s">
        <v>204</v>
      </c>
      <c r="D80" s="14">
        <v>20</v>
      </c>
      <c r="E80" s="11">
        <v>120</v>
      </c>
      <c r="F80" s="11">
        <f t="shared" si="2"/>
        <v>6</v>
      </c>
      <c r="G80" s="12">
        <v>46310</v>
      </c>
    </row>
    <row r="81" spans="1:7" x14ac:dyDescent="0.3">
      <c r="A81" s="10" t="s">
        <v>123</v>
      </c>
      <c r="B81" s="10" t="s">
        <v>265</v>
      </c>
      <c r="C81" s="10" t="s">
        <v>266</v>
      </c>
      <c r="D81" s="14">
        <v>18</v>
      </c>
      <c r="E81" s="11">
        <v>65</v>
      </c>
      <c r="F81" s="11">
        <f t="shared" si="2"/>
        <v>3.6111111111111112</v>
      </c>
      <c r="G81" s="12">
        <v>46310</v>
      </c>
    </row>
    <row r="82" spans="1:7" x14ac:dyDescent="0.3">
      <c r="A82" s="10" t="s">
        <v>123</v>
      </c>
      <c r="B82" s="10" t="s">
        <v>267</v>
      </c>
      <c r="C82" s="10" t="s">
        <v>216</v>
      </c>
      <c r="D82" s="14">
        <v>15</v>
      </c>
      <c r="E82" s="11">
        <v>65</v>
      </c>
      <c r="F82" s="11">
        <f t="shared" si="2"/>
        <v>4.333333333333333</v>
      </c>
      <c r="G82" s="12">
        <v>46310</v>
      </c>
    </row>
    <row r="83" spans="1:7" x14ac:dyDescent="0.3">
      <c r="A83" s="10" t="s">
        <v>123</v>
      </c>
      <c r="B83" s="10" t="s">
        <v>268</v>
      </c>
      <c r="C83" s="10" t="s">
        <v>269</v>
      </c>
      <c r="D83" s="14">
        <v>1.8</v>
      </c>
      <c r="E83" s="11">
        <v>8</v>
      </c>
      <c r="F83" s="11">
        <f t="shared" si="2"/>
        <v>4.4444444444444446</v>
      </c>
      <c r="G83" s="12">
        <v>46310</v>
      </c>
    </row>
    <row r="84" spans="1:7" x14ac:dyDescent="0.3">
      <c r="A84" s="10" t="s">
        <v>125</v>
      </c>
      <c r="B84" s="10" t="s">
        <v>270</v>
      </c>
      <c r="C84" s="10" t="s">
        <v>226</v>
      </c>
      <c r="D84" s="14">
        <v>10</v>
      </c>
      <c r="E84" s="11">
        <v>140</v>
      </c>
      <c r="F84" s="11">
        <f t="shared" si="2"/>
        <v>14</v>
      </c>
      <c r="G84" s="12">
        <v>46310</v>
      </c>
    </row>
    <row r="85" spans="1:7" x14ac:dyDescent="0.3">
      <c r="A85" s="10" t="s">
        <v>125</v>
      </c>
      <c r="B85" s="10" t="s">
        <v>271</v>
      </c>
      <c r="C85" s="10" t="s">
        <v>226</v>
      </c>
      <c r="D85" s="14">
        <v>10</v>
      </c>
      <c r="E85" s="11">
        <v>100</v>
      </c>
      <c r="F85" s="11">
        <f t="shared" si="2"/>
        <v>10</v>
      </c>
      <c r="G85" s="12">
        <v>46310</v>
      </c>
    </row>
    <row r="86" spans="1:7" x14ac:dyDescent="0.3">
      <c r="A86" s="10" t="s">
        <v>75</v>
      </c>
      <c r="B86" s="10" t="s">
        <v>272</v>
      </c>
      <c r="C86" s="10" t="s">
        <v>204</v>
      </c>
      <c r="D86" s="14">
        <v>20</v>
      </c>
      <c r="E86" s="11">
        <v>50</v>
      </c>
      <c r="F86" s="11">
        <f t="shared" si="2"/>
        <v>2.5</v>
      </c>
      <c r="G86" s="12">
        <v>46310</v>
      </c>
    </row>
    <row r="87" spans="1:7" x14ac:dyDescent="0.3">
      <c r="A87" s="10" t="s">
        <v>75</v>
      </c>
      <c r="B87" s="10" t="s">
        <v>273</v>
      </c>
      <c r="C87" s="10" t="s">
        <v>204</v>
      </c>
      <c r="D87" s="14">
        <v>20</v>
      </c>
      <c r="E87" s="11">
        <v>40</v>
      </c>
      <c r="F87" s="11">
        <f t="shared" si="2"/>
        <v>2</v>
      </c>
      <c r="G87" s="12">
        <v>46310</v>
      </c>
    </row>
    <row r="88" spans="1:7" x14ac:dyDescent="0.3">
      <c r="A88" s="10" t="s">
        <v>75</v>
      </c>
      <c r="B88" s="10" t="s">
        <v>274</v>
      </c>
      <c r="C88" s="10" t="s">
        <v>204</v>
      </c>
      <c r="D88" s="14">
        <v>20</v>
      </c>
      <c r="E88" s="11">
        <v>80</v>
      </c>
      <c r="F88" s="11">
        <f t="shared" si="2"/>
        <v>4</v>
      </c>
      <c r="G88" s="12">
        <v>46310</v>
      </c>
    </row>
    <row r="89" spans="1:7" x14ac:dyDescent="0.3">
      <c r="A89" s="10" t="s">
        <v>76</v>
      </c>
      <c r="B89" s="10" t="s">
        <v>275</v>
      </c>
      <c r="C89" s="10" t="s">
        <v>276</v>
      </c>
      <c r="D89" s="14">
        <v>8</v>
      </c>
      <c r="E89" s="11">
        <v>65</v>
      </c>
      <c r="F89" s="11">
        <f t="shared" si="2"/>
        <v>8.125</v>
      </c>
      <c r="G89" s="12">
        <v>46294</v>
      </c>
    </row>
    <row r="90" spans="1:7" x14ac:dyDescent="0.3">
      <c r="A90" s="10" t="s">
        <v>77</v>
      </c>
      <c r="B90" s="10" t="s">
        <v>277</v>
      </c>
      <c r="C90" s="10" t="s">
        <v>278</v>
      </c>
      <c r="D90" s="14">
        <v>3</v>
      </c>
      <c r="E90" s="11">
        <v>40</v>
      </c>
      <c r="F90" s="11">
        <f t="shared" si="2"/>
        <v>13.333333333333334</v>
      </c>
      <c r="G90" s="12">
        <v>46291</v>
      </c>
    </row>
    <row r="91" spans="1:7" x14ac:dyDescent="0.3">
      <c r="A91" s="10" t="s">
        <v>126</v>
      </c>
      <c r="B91" s="10" t="s">
        <v>279</v>
      </c>
      <c r="C91" s="10" t="s">
        <v>204</v>
      </c>
      <c r="D91" s="14">
        <v>20</v>
      </c>
      <c r="E91" s="11">
        <v>130</v>
      </c>
      <c r="F91" s="11">
        <f t="shared" si="2"/>
        <v>6.5</v>
      </c>
      <c r="G91" s="12">
        <v>46310</v>
      </c>
    </row>
    <row r="92" spans="1:7" x14ac:dyDescent="0.3">
      <c r="A92" s="10" t="s">
        <v>80</v>
      </c>
      <c r="B92" s="10" t="s">
        <v>280</v>
      </c>
      <c r="C92" s="10" t="s">
        <v>226</v>
      </c>
      <c r="D92" s="14">
        <v>10</v>
      </c>
      <c r="E92" s="11">
        <v>240</v>
      </c>
      <c r="F92" s="11">
        <f t="shared" si="2"/>
        <v>24</v>
      </c>
      <c r="G92" s="12">
        <v>46310</v>
      </c>
    </row>
    <row r="93" spans="1:7" x14ac:dyDescent="0.3">
      <c r="A93" s="10" t="s">
        <v>82</v>
      </c>
      <c r="B93" s="10" t="s">
        <v>281</v>
      </c>
      <c r="C93" s="10" t="s">
        <v>216</v>
      </c>
      <c r="D93" s="14">
        <v>15</v>
      </c>
      <c r="E93" s="11">
        <v>80</v>
      </c>
      <c r="F93" s="11">
        <f t="shared" si="2"/>
        <v>5.333333333333333</v>
      </c>
      <c r="G93" s="12">
        <v>46310</v>
      </c>
    </row>
    <row r="94" spans="1:7" x14ac:dyDescent="0.3">
      <c r="A94" s="10" t="s">
        <v>82</v>
      </c>
      <c r="B94" s="10" t="s">
        <v>282</v>
      </c>
      <c r="C94" s="10" t="s">
        <v>210</v>
      </c>
      <c r="D94" s="14">
        <v>1</v>
      </c>
      <c r="E94" s="11">
        <v>5.66</v>
      </c>
      <c r="F94" s="11">
        <f t="shared" si="2"/>
        <v>5.66</v>
      </c>
      <c r="G94" s="12">
        <v>46310</v>
      </c>
    </row>
    <row r="95" spans="1:7" x14ac:dyDescent="0.3">
      <c r="A95" s="10" t="s">
        <v>82</v>
      </c>
      <c r="B95" s="10" t="s">
        <v>283</v>
      </c>
      <c r="C95" s="10" t="s">
        <v>276</v>
      </c>
      <c r="D95" s="14">
        <v>8</v>
      </c>
      <c r="E95" s="11">
        <v>70</v>
      </c>
      <c r="F95" s="11">
        <f t="shared" si="2"/>
        <v>8.75</v>
      </c>
      <c r="G95" s="12">
        <v>46310</v>
      </c>
    </row>
    <row r="96" spans="1:7" x14ac:dyDescent="0.3">
      <c r="A96" s="10" t="s">
        <v>127</v>
      </c>
      <c r="B96" s="10" t="s">
        <v>284</v>
      </c>
      <c r="C96" s="10" t="s">
        <v>204</v>
      </c>
      <c r="D96" s="14">
        <v>20</v>
      </c>
      <c r="E96" s="11">
        <v>70</v>
      </c>
      <c r="F96" s="11">
        <f t="shared" si="2"/>
        <v>3.5</v>
      </c>
      <c r="G96" s="12">
        <v>46310</v>
      </c>
    </row>
    <row r="97" spans="1:7" x14ac:dyDescent="0.3">
      <c r="A97" s="10" t="s">
        <v>127</v>
      </c>
      <c r="B97" s="10" t="s">
        <v>285</v>
      </c>
      <c r="C97" s="10" t="s">
        <v>204</v>
      </c>
      <c r="D97" s="14">
        <v>20</v>
      </c>
      <c r="E97" s="11">
        <v>140</v>
      </c>
      <c r="F97" s="11">
        <f t="shared" si="2"/>
        <v>7</v>
      </c>
      <c r="G97" s="12">
        <v>46310</v>
      </c>
    </row>
    <row r="98" spans="1:7" x14ac:dyDescent="0.3">
      <c r="A98" s="10" t="s">
        <v>127</v>
      </c>
      <c r="B98" s="10" t="s">
        <v>286</v>
      </c>
      <c r="C98" s="10" t="s">
        <v>204</v>
      </c>
      <c r="D98" s="14">
        <v>20</v>
      </c>
      <c r="E98" s="11">
        <v>65</v>
      </c>
      <c r="F98" s="11">
        <f t="shared" ref="F98:F129" si="3">E98/D98</f>
        <v>3.25</v>
      </c>
      <c r="G98" s="12">
        <v>46310</v>
      </c>
    </row>
    <row r="99" spans="1:7" x14ac:dyDescent="0.3">
      <c r="A99" s="10" t="s">
        <v>83</v>
      </c>
      <c r="B99" s="10" t="s">
        <v>287</v>
      </c>
      <c r="C99" s="10" t="s">
        <v>212</v>
      </c>
      <c r="D99" s="14">
        <v>12</v>
      </c>
      <c r="E99" s="11">
        <v>150</v>
      </c>
      <c r="F99" s="11">
        <f t="shared" si="3"/>
        <v>12.5</v>
      </c>
      <c r="G99" s="12">
        <v>46310</v>
      </c>
    </row>
    <row r="100" spans="1:7" x14ac:dyDescent="0.3">
      <c r="A100" s="10" t="s">
        <v>83</v>
      </c>
      <c r="B100" s="10" t="s">
        <v>288</v>
      </c>
      <c r="C100" s="10" t="s">
        <v>289</v>
      </c>
      <c r="D100" s="14">
        <v>2</v>
      </c>
      <c r="E100" s="11">
        <v>60</v>
      </c>
      <c r="F100" s="11">
        <f t="shared" si="3"/>
        <v>30</v>
      </c>
      <c r="G100" s="12">
        <v>46310</v>
      </c>
    </row>
    <row r="101" spans="1:7" x14ac:dyDescent="0.3">
      <c r="A101" s="10" t="s">
        <v>81</v>
      </c>
      <c r="B101" s="10" t="s">
        <v>290</v>
      </c>
      <c r="C101" s="10" t="s">
        <v>266</v>
      </c>
      <c r="D101" s="14">
        <v>18</v>
      </c>
      <c r="E101" s="11">
        <v>120</v>
      </c>
      <c r="F101" s="11">
        <f t="shared" si="3"/>
        <v>6.666666666666667</v>
      </c>
      <c r="G101" s="12">
        <v>46310</v>
      </c>
    </row>
    <row r="102" spans="1:7" x14ac:dyDescent="0.3">
      <c r="A102" s="10" t="s">
        <v>81</v>
      </c>
      <c r="B102" s="10" t="s">
        <v>291</v>
      </c>
      <c r="C102" s="10" t="s">
        <v>266</v>
      </c>
      <c r="D102" s="14">
        <v>18</v>
      </c>
      <c r="E102" s="11">
        <v>100</v>
      </c>
      <c r="F102" s="11">
        <f t="shared" si="3"/>
        <v>5.5555555555555554</v>
      </c>
      <c r="G102" s="12">
        <v>46310</v>
      </c>
    </row>
    <row r="103" spans="1:7" x14ac:dyDescent="0.3">
      <c r="A103" s="10" t="s">
        <v>128</v>
      </c>
      <c r="B103" s="10" t="s">
        <v>292</v>
      </c>
      <c r="C103" s="10" t="s">
        <v>226</v>
      </c>
      <c r="D103" s="14">
        <v>10</v>
      </c>
      <c r="E103" s="11">
        <v>60</v>
      </c>
      <c r="F103" s="11">
        <f t="shared" si="3"/>
        <v>6</v>
      </c>
      <c r="G103" s="12">
        <v>46310</v>
      </c>
    </row>
    <row r="104" spans="1:7" x14ac:dyDescent="0.3">
      <c r="A104" s="10" t="s">
        <v>128</v>
      </c>
      <c r="B104" s="10" t="s">
        <v>293</v>
      </c>
      <c r="C104" s="10" t="s">
        <v>210</v>
      </c>
      <c r="D104" s="14">
        <v>1</v>
      </c>
      <c r="E104" s="11">
        <v>2.5</v>
      </c>
      <c r="F104" s="11">
        <f t="shared" si="3"/>
        <v>2.5</v>
      </c>
      <c r="G104" s="12">
        <v>46310</v>
      </c>
    </row>
    <row r="105" spans="1:7" x14ac:dyDescent="0.3">
      <c r="A105" s="10" t="s">
        <v>84</v>
      </c>
      <c r="B105" s="10" t="s">
        <v>294</v>
      </c>
      <c r="C105" s="10" t="s">
        <v>295</v>
      </c>
      <c r="D105" s="14">
        <v>13</v>
      </c>
      <c r="E105" s="11">
        <v>80</v>
      </c>
      <c r="F105" s="11">
        <f t="shared" si="3"/>
        <v>6.1538461538461542</v>
      </c>
      <c r="G105" s="12">
        <v>46310</v>
      </c>
    </row>
    <row r="106" spans="1:7" x14ac:dyDescent="0.3">
      <c r="A106" s="10" t="s">
        <v>129</v>
      </c>
      <c r="B106" s="10" t="s">
        <v>296</v>
      </c>
      <c r="C106" s="10" t="s">
        <v>297</v>
      </c>
      <c r="D106" s="14">
        <v>9</v>
      </c>
      <c r="E106" s="11">
        <v>140</v>
      </c>
      <c r="F106" s="11">
        <f t="shared" si="3"/>
        <v>15.555555555555555</v>
      </c>
      <c r="G106" s="12">
        <v>46310</v>
      </c>
    </row>
    <row r="107" spans="1:7" x14ac:dyDescent="0.3">
      <c r="A107" s="10" t="s">
        <v>87</v>
      </c>
      <c r="B107" s="10" t="s">
        <v>298</v>
      </c>
      <c r="C107" s="10" t="s">
        <v>204</v>
      </c>
      <c r="D107" s="14">
        <v>20</v>
      </c>
      <c r="E107" s="11">
        <v>75</v>
      </c>
      <c r="F107" s="11">
        <f t="shared" si="3"/>
        <v>3.75</v>
      </c>
      <c r="G107" s="12">
        <v>46309</v>
      </c>
    </row>
    <row r="108" spans="1:7" x14ac:dyDescent="0.3">
      <c r="A108" s="10" t="s">
        <v>131</v>
      </c>
      <c r="B108" s="10" t="s">
        <v>299</v>
      </c>
      <c r="C108" s="10" t="s">
        <v>300</v>
      </c>
      <c r="D108" s="14">
        <v>4</v>
      </c>
      <c r="E108" s="11">
        <v>120</v>
      </c>
      <c r="F108" s="11">
        <f t="shared" si="3"/>
        <v>30</v>
      </c>
      <c r="G108" s="12">
        <v>46310</v>
      </c>
    </row>
    <row r="109" spans="1:7" x14ac:dyDescent="0.3">
      <c r="A109" s="10" t="s">
        <v>130</v>
      </c>
      <c r="B109" s="10" t="s">
        <v>301</v>
      </c>
      <c r="C109" s="10" t="s">
        <v>297</v>
      </c>
      <c r="D109" s="14">
        <v>9</v>
      </c>
      <c r="E109" s="11">
        <v>140</v>
      </c>
      <c r="F109" s="11">
        <f t="shared" si="3"/>
        <v>15.555555555555555</v>
      </c>
      <c r="G109" s="12">
        <v>46310</v>
      </c>
    </row>
    <row r="110" spans="1:7" x14ac:dyDescent="0.3">
      <c r="A110" s="10" t="s">
        <v>130</v>
      </c>
      <c r="B110" s="10" t="s">
        <v>302</v>
      </c>
      <c r="C110" s="10" t="s">
        <v>266</v>
      </c>
      <c r="D110" s="14">
        <v>18</v>
      </c>
      <c r="E110" s="11">
        <v>150</v>
      </c>
      <c r="F110" s="11">
        <f t="shared" si="3"/>
        <v>8.3333333333333339</v>
      </c>
      <c r="G110" s="12">
        <v>46310</v>
      </c>
    </row>
    <row r="111" spans="1:7" x14ac:dyDescent="0.3">
      <c r="A111" s="10" t="s">
        <v>132</v>
      </c>
      <c r="B111" s="10" t="s">
        <v>303</v>
      </c>
      <c r="C111" s="10" t="s">
        <v>252</v>
      </c>
      <c r="D111" s="14">
        <v>5</v>
      </c>
      <c r="E111" s="11">
        <v>60</v>
      </c>
      <c r="F111" s="11">
        <f t="shared" si="3"/>
        <v>12</v>
      </c>
      <c r="G111" s="12">
        <v>46310</v>
      </c>
    </row>
    <row r="112" spans="1:7" x14ac:dyDescent="0.3">
      <c r="A112" s="10" t="s">
        <v>132</v>
      </c>
      <c r="B112" s="10" t="s">
        <v>304</v>
      </c>
      <c r="C112" s="10" t="s">
        <v>276</v>
      </c>
      <c r="D112" s="14">
        <v>8</v>
      </c>
      <c r="E112" s="11">
        <v>80</v>
      </c>
      <c r="F112" s="11">
        <f t="shared" si="3"/>
        <v>10</v>
      </c>
      <c r="G112" s="12">
        <v>46310</v>
      </c>
    </row>
    <row r="113" spans="1:7" x14ac:dyDescent="0.3">
      <c r="A113" s="10" t="s">
        <v>132</v>
      </c>
      <c r="B113" s="10" t="s">
        <v>305</v>
      </c>
      <c r="C113" s="10" t="s">
        <v>276</v>
      </c>
      <c r="D113" s="14">
        <v>8</v>
      </c>
      <c r="E113" s="11">
        <v>100</v>
      </c>
      <c r="F113" s="11">
        <f t="shared" si="3"/>
        <v>12.5</v>
      </c>
      <c r="G113" s="12">
        <v>46310</v>
      </c>
    </row>
    <row r="114" spans="1:7" x14ac:dyDescent="0.3">
      <c r="A114" s="10" t="s">
        <v>132</v>
      </c>
      <c r="B114" s="10" t="s">
        <v>306</v>
      </c>
      <c r="C114" s="10" t="s">
        <v>252</v>
      </c>
      <c r="D114" s="14">
        <v>5</v>
      </c>
      <c r="E114" s="11">
        <v>65</v>
      </c>
      <c r="F114" s="11">
        <f t="shared" si="3"/>
        <v>13</v>
      </c>
      <c r="G114" s="12">
        <v>46310</v>
      </c>
    </row>
    <row r="115" spans="1:7" x14ac:dyDescent="0.3">
      <c r="A115" s="10" t="s">
        <v>132</v>
      </c>
      <c r="B115" s="10" t="s">
        <v>307</v>
      </c>
      <c r="C115" s="10" t="s">
        <v>252</v>
      </c>
      <c r="D115" s="14">
        <v>5</v>
      </c>
      <c r="E115" s="11">
        <v>60</v>
      </c>
      <c r="F115" s="11">
        <f t="shared" si="3"/>
        <v>12</v>
      </c>
      <c r="G115" s="12">
        <v>46310</v>
      </c>
    </row>
    <row r="116" spans="1:7" x14ac:dyDescent="0.3">
      <c r="A116" s="10" t="s">
        <v>90</v>
      </c>
      <c r="B116" s="10" t="s">
        <v>308</v>
      </c>
      <c r="C116" s="10" t="s">
        <v>204</v>
      </c>
      <c r="D116" s="14">
        <v>20</v>
      </c>
      <c r="E116" s="11">
        <v>85</v>
      </c>
      <c r="F116" s="11">
        <f t="shared" si="3"/>
        <v>4.25</v>
      </c>
      <c r="G116" s="12">
        <v>46310</v>
      </c>
    </row>
    <row r="117" spans="1:7" x14ac:dyDescent="0.3">
      <c r="A117" s="10" t="s">
        <v>147</v>
      </c>
      <c r="B117" s="10" t="s">
        <v>309</v>
      </c>
      <c r="C117" s="10" t="s">
        <v>204</v>
      </c>
      <c r="D117" s="14">
        <v>20</v>
      </c>
      <c r="E117" s="11">
        <v>50</v>
      </c>
      <c r="F117" s="11">
        <f t="shared" si="3"/>
        <v>2.5</v>
      </c>
      <c r="G117" s="12">
        <v>46310</v>
      </c>
    </row>
    <row r="118" spans="1:7" x14ac:dyDescent="0.3">
      <c r="A118" s="10" t="s">
        <v>147</v>
      </c>
      <c r="B118" s="10" t="s">
        <v>310</v>
      </c>
      <c r="C118" s="10" t="s">
        <v>204</v>
      </c>
      <c r="D118" s="14">
        <v>20</v>
      </c>
      <c r="E118" s="11">
        <v>50</v>
      </c>
      <c r="F118" s="11">
        <f t="shared" si="3"/>
        <v>2.5</v>
      </c>
      <c r="G118" s="12">
        <v>46310</v>
      </c>
    </row>
    <row r="119" spans="1:7" x14ac:dyDescent="0.3">
      <c r="A119" s="10" t="s">
        <v>93</v>
      </c>
      <c r="B119" s="10" t="s">
        <v>311</v>
      </c>
      <c r="C119" s="10" t="s">
        <v>204</v>
      </c>
      <c r="D119" s="14">
        <v>20</v>
      </c>
      <c r="E119" s="11">
        <v>50</v>
      </c>
      <c r="F119" s="11">
        <f t="shared" si="3"/>
        <v>2.5</v>
      </c>
      <c r="G119" s="12">
        <v>46310</v>
      </c>
    </row>
    <row r="120" spans="1:7" x14ac:dyDescent="0.3">
      <c r="A120" s="10" t="s">
        <v>93</v>
      </c>
      <c r="B120" s="10" t="s">
        <v>312</v>
      </c>
      <c r="C120" s="10" t="s">
        <v>165</v>
      </c>
      <c r="D120" s="14">
        <v>6</v>
      </c>
      <c r="E120" s="11">
        <v>15</v>
      </c>
      <c r="F120" s="11">
        <f t="shared" si="3"/>
        <v>2.5</v>
      </c>
      <c r="G120" s="12">
        <v>46310</v>
      </c>
    </row>
    <row r="121" spans="1:7" x14ac:dyDescent="0.3">
      <c r="A121" s="10" t="s">
        <v>95</v>
      </c>
      <c r="B121" s="10" t="s">
        <v>313</v>
      </c>
      <c r="C121" s="10" t="s">
        <v>314</v>
      </c>
      <c r="D121" s="14">
        <v>23</v>
      </c>
      <c r="E121" s="11">
        <v>200</v>
      </c>
      <c r="F121" s="11">
        <f t="shared" si="3"/>
        <v>8.695652173913043</v>
      </c>
      <c r="G121" s="12">
        <v>46310</v>
      </c>
    </row>
    <row r="122" spans="1:7" x14ac:dyDescent="0.3">
      <c r="A122" s="10" t="s">
        <v>148</v>
      </c>
      <c r="B122" s="10" t="s">
        <v>315</v>
      </c>
      <c r="C122" s="10" t="s">
        <v>204</v>
      </c>
      <c r="D122" s="14">
        <v>20</v>
      </c>
      <c r="E122" s="11">
        <v>50</v>
      </c>
      <c r="F122" s="11">
        <f t="shared" si="3"/>
        <v>2.5</v>
      </c>
      <c r="G122" s="12">
        <v>46305</v>
      </c>
    </row>
    <row r="123" spans="1:7" x14ac:dyDescent="0.3">
      <c r="A123" s="10" t="s">
        <v>149</v>
      </c>
      <c r="B123" s="10" t="s">
        <v>316</v>
      </c>
      <c r="C123" s="10" t="s">
        <v>314</v>
      </c>
      <c r="D123" s="14">
        <v>23</v>
      </c>
      <c r="E123" s="11">
        <v>110</v>
      </c>
      <c r="F123" s="11">
        <f t="shared" si="3"/>
        <v>4.7826086956521738</v>
      </c>
      <c r="G123" s="12">
        <v>46309</v>
      </c>
    </row>
    <row r="124" spans="1:7" x14ac:dyDescent="0.3">
      <c r="A124" s="10" t="s">
        <v>98</v>
      </c>
      <c r="B124" s="10" t="s">
        <v>317</v>
      </c>
      <c r="C124" s="10" t="s">
        <v>204</v>
      </c>
      <c r="D124" s="14">
        <v>20</v>
      </c>
      <c r="E124" s="11">
        <v>100</v>
      </c>
      <c r="F124" s="11">
        <f t="shared" si="3"/>
        <v>5</v>
      </c>
      <c r="G124" s="12">
        <v>46310</v>
      </c>
    </row>
    <row r="126" spans="1:7" x14ac:dyDescent="0.3">
      <c r="A126" s="9" t="s">
        <v>318</v>
      </c>
    </row>
  </sheetData>
  <autoFilter ref="A1:G1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Leia-me</vt:lpstr>
      <vt:lpstr>Pauta 175</vt:lpstr>
      <vt:lpstr>Referência por espécie</vt:lpstr>
      <vt:lpstr>Cotações CEASA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Humberto Vinicius Aparecido</cp:lastModifiedBy>
  <dcterms:created xsi:type="dcterms:W3CDTF">2026-10-19T18:56:15Z</dcterms:created>
  <dcterms:modified xsi:type="dcterms:W3CDTF">2026-10-19T18:56:42Z</dcterms:modified>
</cp:coreProperties>
</file>